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대시보드" sheetId="1" state="visible" r:id="rId3"/>
    <sheet name="차량_정보" sheetId="2" state="visible" r:id="rId4"/>
    <sheet name="가격_가이드" sheetId="3" state="visible" r:id="rId5"/>
    <sheet name="여행_기록" sheetId="4" state="visible" r:id="rId6"/>
    <sheet name="이동_기록" sheetId="5" state="visible" r:id="rId7"/>
    <sheet name="정비_영수증" sheetId="6" state="visible" r:id="rId8"/>
    <sheet name="가격_계산기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<sst xmlns="http://schemas.openxmlformats.org/spreadsheetml/2006/main" count="298" uniqueCount="258">
  <si>
    <t xml:space="preserve">📊 운영 대시보드</t>
  </si>
  <si>
    <r>
      <rPr>
        <i val="true"/>
        <sz val="9"/>
        <color rgb="FF7F8C8D"/>
        <rFont val="DejaVu Sans"/>
        <family val="2"/>
      </rPr>
      <t xml:space="preserve">차량 부업 — </t>
    </r>
    <r>
      <rPr>
        <i val="true"/>
        <sz val="9"/>
        <color rgb="FF7F8C8D"/>
        <rFont val="Arial"/>
        <family val="0"/>
        <charset val="1"/>
      </rPr>
      <t xml:space="preserve">Andrew | 2026 </t>
    </r>
    <r>
      <rPr>
        <i val="true"/>
        <sz val="9"/>
        <color rgb="FF7F8C8D"/>
        <rFont val="DejaVu Sans"/>
        <family val="2"/>
      </rPr>
      <t xml:space="preserve">시즌</t>
    </r>
  </si>
  <si>
    <t xml:space="preserve">🟦 핵심 지표</t>
  </si>
  <si>
    <r>
      <rPr>
        <b val="true"/>
        <sz val="11"/>
        <color rgb="FF2C3E50"/>
        <rFont val="Arial"/>
        <family val="0"/>
        <charset val="1"/>
      </rPr>
      <t xml:space="preserve">YTD </t>
    </r>
    <r>
      <rPr>
        <b val="true"/>
        <sz val="11"/>
        <color rgb="FF2C3E50"/>
        <rFont val="DejaVu Sans"/>
        <family val="2"/>
      </rPr>
      <t xml:space="preserve">총 운행 </t>
    </r>
    <r>
      <rPr>
        <b val="true"/>
        <sz val="11"/>
        <color rgb="FF2C3E50"/>
        <rFont val="Arial"/>
        <family val="0"/>
        <charset val="1"/>
      </rPr>
      <t xml:space="preserve">km</t>
    </r>
  </si>
  <si>
    <r>
      <rPr>
        <b val="true"/>
        <sz val="11"/>
        <color rgb="FF2C3E50"/>
        <rFont val="Arial"/>
        <family val="0"/>
        <charset val="1"/>
      </rPr>
      <t xml:space="preserve">YTD </t>
    </r>
    <r>
      <rPr>
        <b val="true"/>
        <sz val="11"/>
        <color rgb="FF2C3E50"/>
        <rFont val="DejaVu Sans"/>
        <family val="2"/>
      </rPr>
      <t xml:space="preserve">총 수입 </t>
    </r>
    <r>
      <rPr>
        <b val="true"/>
        <sz val="11"/>
        <color rgb="FF2C3E50"/>
        <rFont val="Arial"/>
        <family val="0"/>
        <charset val="1"/>
      </rPr>
      <t xml:space="preserve">(€)</t>
    </r>
  </si>
  <si>
    <r>
      <rPr>
        <b val="true"/>
        <sz val="11"/>
        <color rgb="FF2C3E50"/>
        <rFont val="Arial"/>
        <family val="0"/>
        <charset val="1"/>
      </rPr>
      <t xml:space="preserve">YTD </t>
    </r>
    <r>
      <rPr>
        <b val="true"/>
        <sz val="11"/>
        <color rgb="FF2C3E50"/>
        <rFont val="DejaVu Sans"/>
        <family val="2"/>
      </rPr>
      <t xml:space="preserve">총 진짜 비용 </t>
    </r>
    <r>
      <rPr>
        <b val="true"/>
        <sz val="11"/>
        <color rgb="FF2C3E50"/>
        <rFont val="Arial"/>
        <family val="0"/>
        <charset val="1"/>
      </rPr>
      <t xml:space="preserve">(€)</t>
    </r>
  </si>
  <si>
    <r>
      <rPr>
        <b val="true"/>
        <sz val="11"/>
        <color rgb="FF2C3E50"/>
        <rFont val="Arial"/>
        <family val="0"/>
        <charset val="1"/>
      </rPr>
      <t xml:space="preserve">YTD </t>
    </r>
    <r>
      <rPr>
        <b val="true"/>
        <sz val="11"/>
        <color rgb="FF2C3E50"/>
        <rFont val="DejaVu Sans"/>
        <family val="2"/>
      </rPr>
      <t xml:space="preserve">흑자</t>
    </r>
    <r>
      <rPr>
        <b val="true"/>
        <sz val="11"/>
        <color rgb="FF2C3E50"/>
        <rFont val="Arial"/>
        <family val="0"/>
        <charset val="1"/>
      </rPr>
      <t xml:space="preserve">/</t>
    </r>
    <r>
      <rPr>
        <b val="true"/>
        <sz val="11"/>
        <color rgb="FF2C3E50"/>
        <rFont val="DejaVu Sans"/>
        <family val="2"/>
      </rPr>
      <t xml:space="preserve">적자 </t>
    </r>
    <r>
      <rPr>
        <b val="true"/>
        <sz val="11"/>
        <color rgb="FF2C3E50"/>
        <rFont val="Arial"/>
        <family val="0"/>
        <charset val="1"/>
      </rPr>
      <t xml:space="preserve">(€)</t>
    </r>
  </si>
  <si>
    <r>
      <rPr>
        <b val="true"/>
        <sz val="11"/>
        <color rgb="FF2C3E50"/>
        <rFont val="Arial"/>
        <family val="0"/>
        <charset val="1"/>
      </rPr>
      <t xml:space="preserve">YTD </t>
    </r>
    <r>
      <rPr>
        <b val="true"/>
        <sz val="11"/>
        <color rgb="FF2C3E50"/>
        <rFont val="DejaVu Sans"/>
        <family val="2"/>
      </rPr>
      <t xml:space="preserve">정비 지출 </t>
    </r>
    <r>
      <rPr>
        <b val="true"/>
        <sz val="11"/>
        <color rgb="FF2C3E50"/>
        <rFont val="Arial"/>
        <family val="0"/>
        <charset val="1"/>
      </rPr>
      <t xml:space="preserve">(€)</t>
    </r>
  </si>
  <si>
    <r>
      <rPr>
        <b val="true"/>
        <sz val="11"/>
        <color rgb="FF2C3E50"/>
        <rFont val="DejaVu Sans"/>
        <family val="2"/>
      </rPr>
      <t xml:space="preserve">정비 충당 잔액 </t>
    </r>
    <r>
      <rPr>
        <b val="true"/>
        <sz val="11"/>
        <color rgb="FF2C3E50"/>
        <rFont val="Arial"/>
        <family val="0"/>
        <charset val="1"/>
      </rPr>
      <t xml:space="preserve">(€)</t>
    </r>
  </si>
  <si>
    <r>
      <rPr>
        <b val="true"/>
        <sz val="14"/>
        <color rgb="FF2C3E50"/>
        <rFont val="DejaVu Sans"/>
        <family val="2"/>
      </rPr>
      <t xml:space="preserve">📐 차량 비용 모델 </t>
    </r>
    <r>
      <rPr>
        <b val="true"/>
        <sz val="14"/>
        <color rgb="FF2C3E50"/>
        <rFont val="Arial"/>
        <family val="0"/>
        <charset val="1"/>
      </rPr>
      <t xml:space="preserve">(</t>
    </r>
    <r>
      <rPr>
        <b val="true"/>
        <sz val="14"/>
        <color rgb="FF2C3E50"/>
        <rFont val="DejaVu Sans"/>
        <family val="2"/>
      </rPr>
      <t xml:space="preserve">실시간</t>
    </r>
    <r>
      <rPr>
        <b val="true"/>
        <sz val="14"/>
        <color rgb="FF2C3E50"/>
        <rFont val="Arial"/>
        <family val="0"/>
        <charset val="1"/>
      </rPr>
      <t xml:space="preserve">)</t>
    </r>
  </si>
  <si>
    <r>
      <rPr>
        <sz val="11"/>
        <rFont val="DejaVu Sans"/>
        <family val="2"/>
      </rPr>
      <t xml:space="preserve">진짜 </t>
    </r>
    <r>
      <rPr>
        <sz val="11"/>
        <rFont val="Arial"/>
        <family val="0"/>
        <charset val="1"/>
      </rPr>
      <t xml:space="preserve">km</t>
    </r>
    <r>
      <rPr>
        <sz val="11"/>
        <rFont val="DejaVu Sans"/>
        <family val="2"/>
      </rPr>
      <t xml:space="preserve">당 실비</t>
    </r>
  </si>
  <si>
    <r>
      <rPr>
        <sz val="11"/>
        <rFont val="DejaVu Sans"/>
        <family val="2"/>
      </rPr>
      <t xml:space="preserve">마모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감가 </t>
    </r>
    <r>
      <rPr>
        <sz val="11"/>
        <rFont val="Arial"/>
        <family val="0"/>
        <charset val="1"/>
      </rPr>
      <t xml:space="preserve">km</t>
    </r>
    <r>
      <rPr>
        <sz val="11"/>
        <rFont val="DejaVu Sans"/>
        <family val="2"/>
      </rPr>
      <t xml:space="preserve">당</t>
    </r>
  </si>
  <si>
    <r>
      <rPr>
        <sz val="11"/>
        <rFont val="DejaVu Sans"/>
        <family val="2"/>
      </rPr>
      <t xml:space="preserve">연료 </t>
    </r>
    <r>
      <rPr>
        <sz val="11"/>
        <rFont val="Arial"/>
        <family val="0"/>
        <charset val="1"/>
      </rPr>
      <t xml:space="preserve">km</t>
    </r>
    <r>
      <rPr>
        <sz val="11"/>
        <rFont val="DejaVu Sans"/>
        <family val="2"/>
      </rPr>
      <t xml:space="preserve">당</t>
    </r>
  </si>
  <si>
    <t xml:space="preserve">내 시간당 단가</t>
  </si>
  <si>
    <t xml:space="preserve">이사 노동 시간당</t>
  </si>
  <si>
    <r>
      <rPr>
        <b val="true"/>
        <sz val="14"/>
        <color rgb="FF2C3E50"/>
        <rFont val="DejaVu Sans"/>
        <family val="2"/>
      </rPr>
      <t xml:space="preserve">💝 친구 보조금 누적 </t>
    </r>
    <r>
      <rPr>
        <b val="true"/>
        <sz val="14"/>
        <color rgb="FF2C3E50"/>
        <rFont val="Arial"/>
        <family val="0"/>
        <charset val="1"/>
      </rPr>
      <t xml:space="preserve">(Tier 1 </t>
    </r>
    <r>
      <rPr>
        <b val="true"/>
        <sz val="14"/>
        <color rgb="FF2C3E50"/>
        <rFont val="DejaVu Sans"/>
        <family val="2"/>
      </rPr>
      <t xml:space="preserve">의도된 적자</t>
    </r>
    <r>
      <rPr>
        <b val="true"/>
        <sz val="14"/>
        <color rgb="FF2C3E50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</si>
  <si>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Tier 1 </t>
    </r>
    <r>
      <rPr>
        <sz val="11"/>
        <rFont val="DejaVu Sans"/>
        <family val="2"/>
      </rPr>
      <t xml:space="preserve">트립 합계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적자 </t>
    </r>
    <r>
      <rPr>
        <sz val="11"/>
        <rFont val="Arial"/>
        <family val="0"/>
        <charset val="1"/>
      </rPr>
      <t xml:space="preserve">= </t>
    </r>
    <r>
      <rPr>
        <sz val="11"/>
        <rFont val="DejaVu Sans"/>
        <family val="2"/>
      </rPr>
      <t xml:space="preserve">너의 보조금</t>
    </r>
    <r>
      <rPr>
        <sz val="11"/>
        <rFont val="Arial"/>
        <family val="0"/>
        <charset val="1"/>
      </rPr>
      <t xml:space="preserve">)</t>
    </r>
  </si>
  <si>
    <t xml:space="preserve">🔗 빠른 이동</t>
  </si>
  <si>
    <r>
      <rPr>
        <i val="true"/>
        <sz val="9"/>
        <color rgb="FF7F8C8D"/>
        <rFont val="DejaVu Sans"/>
        <family val="2"/>
      </rPr>
      <t xml:space="preserve">↳ 새 여행 기록하기 → 여행</t>
    </r>
    <r>
      <rPr>
        <i val="true"/>
        <sz val="9"/>
        <color rgb="FF7F8C8D"/>
        <rFont val="Arial"/>
        <family val="0"/>
        <charset val="1"/>
      </rPr>
      <t xml:space="preserve">_</t>
    </r>
    <r>
      <rPr>
        <i val="true"/>
        <sz val="9"/>
        <color rgb="FF7F8C8D"/>
        <rFont val="DejaVu Sans"/>
        <family val="2"/>
      </rPr>
      <t xml:space="preserve">기록 시트</t>
    </r>
  </si>
  <si>
    <r>
      <rPr>
        <i val="true"/>
        <sz val="9"/>
        <color rgb="FF7F8C8D"/>
        <rFont val="DejaVu Sans"/>
        <family val="2"/>
      </rPr>
      <t xml:space="preserve">↳ 새 픽업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이사 기록하기 → 이동</t>
    </r>
    <r>
      <rPr>
        <i val="true"/>
        <sz val="9"/>
        <color rgb="FF7F8C8D"/>
        <rFont val="Arial"/>
        <family val="0"/>
        <charset val="1"/>
      </rPr>
      <t xml:space="preserve">_</t>
    </r>
    <r>
      <rPr>
        <i val="true"/>
        <sz val="9"/>
        <color rgb="FF7F8C8D"/>
        <rFont val="DejaVu Sans"/>
        <family val="2"/>
      </rPr>
      <t xml:space="preserve">기록 시트</t>
    </r>
  </si>
  <si>
    <r>
      <rPr>
        <i val="true"/>
        <sz val="9"/>
        <color rgb="FF7F8C8D"/>
        <rFont val="DejaVu Sans"/>
        <family val="2"/>
      </rPr>
      <t xml:space="preserve">↳ 정비 영수증 입력 → 정비</t>
    </r>
    <r>
      <rPr>
        <i val="true"/>
        <sz val="9"/>
        <color rgb="FF7F8C8D"/>
        <rFont val="Arial"/>
        <family val="0"/>
        <charset val="1"/>
      </rPr>
      <t xml:space="preserve">_</t>
    </r>
    <r>
      <rPr>
        <i val="true"/>
        <sz val="9"/>
        <color rgb="FF7F8C8D"/>
        <rFont val="DejaVu Sans"/>
        <family val="2"/>
      </rPr>
      <t xml:space="preserve">영수증 시트</t>
    </r>
  </si>
  <si>
    <r>
      <rPr>
        <i val="true"/>
        <sz val="9"/>
        <color rgb="FF7F8C8D"/>
        <rFont val="DejaVu Sans"/>
        <family val="2"/>
      </rPr>
      <t xml:space="preserve">↳ 가격 시뮬레이션 → 가격</t>
    </r>
    <r>
      <rPr>
        <i val="true"/>
        <sz val="9"/>
        <color rgb="FF7F8C8D"/>
        <rFont val="Arial"/>
        <family val="0"/>
        <charset val="1"/>
      </rPr>
      <t xml:space="preserve">_</t>
    </r>
    <r>
      <rPr>
        <i val="true"/>
        <sz val="9"/>
        <color rgb="FF7F8C8D"/>
        <rFont val="DejaVu Sans"/>
        <family val="2"/>
      </rPr>
      <t xml:space="preserve">계산기 시트</t>
    </r>
  </si>
  <si>
    <r>
      <rPr>
        <i val="true"/>
        <sz val="9"/>
        <color rgb="FF7F8C8D"/>
        <rFont val="DejaVu Sans"/>
        <family val="2"/>
      </rPr>
      <t xml:space="preserve">↳ 차량 정보 변경 → 차량</t>
    </r>
    <r>
      <rPr>
        <i val="true"/>
        <sz val="9"/>
        <color rgb="FF7F8C8D"/>
        <rFont val="Arial"/>
        <family val="0"/>
        <charset val="1"/>
      </rPr>
      <t xml:space="preserve">_</t>
    </r>
    <r>
      <rPr>
        <i val="true"/>
        <sz val="9"/>
        <color rgb="FF7F8C8D"/>
        <rFont val="DejaVu Sans"/>
        <family val="2"/>
      </rPr>
      <t xml:space="preserve">정보 시트</t>
    </r>
  </si>
  <si>
    <r>
      <rPr>
        <b val="true"/>
        <sz val="18"/>
        <color rgb="FF2C3E50"/>
        <rFont val="DejaVu Sans"/>
        <family val="2"/>
      </rPr>
      <t xml:space="preserve">🚗 차량 정보 </t>
    </r>
    <r>
      <rPr>
        <b val="true"/>
        <sz val="18"/>
        <color rgb="FF2C3E50"/>
        <rFont val="Arial"/>
        <family val="0"/>
        <charset val="1"/>
      </rPr>
      <t xml:space="preserve">+ km</t>
    </r>
    <r>
      <rPr>
        <b val="true"/>
        <sz val="18"/>
        <color rgb="FF2C3E50"/>
        <rFont val="DejaVu Sans"/>
        <family val="2"/>
      </rPr>
      <t xml:space="preserve">당 비용 모델</t>
    </r>
  </si>
  <si>
    <r>
      <rPr>
        <b val="true"/>
        <sz val="14"/>
        <color rgb="FF2C3E50"/>
        <rFont val="DejaVu Sans"/>
        <family val="2"/>
      </rPr>
      <t xml:space="preserve">⚙️ 차량 기본 정보 </t>
    </r>
    <r>
      <rPr>
        <b val="true"/>
        <sz val="14"/>
        <color rgb="FF2C3E50"/>
        <rFont val="Arial"/>
        <family val="0"/>
        <charset val="1"/>
      </rPr>
      <t xml:space="preserve">(</t>
    </r>
    <r>
      <rPr>
        <b val="true"/>
        <sz val="14"/>
        <color rgb="FF2C3E50"/>
        <rFont val="DejaVu Sans"/>
        <family val="2"/>
      </rPr>
      <t xml:space="preserve">노란 셀 </t>
    </r>
    <r>
      <rPr>
        <b val="true"/>
        <sz val="14"/>
        <color rgb="FF2C3E50"/>
        <rFont val="Arial"/>
        <family val="0"/>
        <charset val="1"/>
      </rPr>
      <t xml:space="preserve">= </t>
    </r>
    <r>
      <rPr>
        <b val="true"/>
        <sz val="14"/>
        <color rgb="FF2C3E50"/>
        <rFont val="DejaVu Sans"/>
        <family val="2"/>
      </rPr>
      <t xml:space="preserve">수정 가능</t>
    </r>
    <r>
      <rPr>
        <b val="true"/>
        <sz val="14"/>
        <color rgb="FF2C3E50"/>
        <rFont val="Arial"/>
        <family val="0"/>
        <charset val="1"/>
      </rPr>
      <t xml:space="preserve">)</t>
    </r>
  </si>
  <si>
    <t xml:space="preserve">차종</t>
  </si>
  <si>
    <t xml:space="preserve">Citroen Grand C4 Picasso 2012</t>
  </si>
  <si>
    <r>
      <rPr>
        <sz val="11"/>
        <rFont val="DejaVu Sans"/>
        <family val="2"/>
      </rPr>
      <t xml:space="preserve">현재 주행거리 </t>
    </r>
    <r>
      <rPr>
        <sz val="11"/>
        <rFont val="Arial"/>
        <family val="0"/>
        <charset val="1"/>
      </rPr>
      <t xml:space="preserve">(km)</t>
    </r>
  </si>
  <si>
    <r>
      <rPr>
        <sz val="11"/>
        <rFont val="DejaVu Sans"/>
        <family val="2"/>
      </rPr>
      <t xml:space="preserve">차량 구매가 </t>
    </r>
    <r>
      <rPr>
        <sz val="11"/>
        <rFont val="Arial"/>
        <family val="0"/>
        <charset val="1"/>
      </rPr>
      <t xml:space="preserve">(€)</t>
    </r>
  </si>
  <si>
    <r>
      <rPr>
        <sz val="11"/>
        <rFont val="DejaVu Sans"/>
        <family val="2"/>
      </rPr>
      <t xml:space="preserve">연비 </t>
    </r>
    <r>
      <rPr>
        <sz val="11"/>
        <rFont val="Arial"/>
        <family val="0"/>
        <charset val="1"/>
      </rPr>
      <t xml:space="preserve">(km/L)</t>
    </r>
  </si>
  <si>
    <r>
      <rPr>
        <sz val="11"/>
        <rFont val="DejaVu Sans"/>
        <family val="2"/>
      </rPr>
      <t xml:space="preserve">연료 가격 </t>
    </r>
    <r>
      <rPr>
        <sz val="11"/>
        <rFont val="Arial"/>
        <family val="0"/>
        <charset val="1"/>
      </rPr>
      <t xml:space="preserve">(€/L)</t>
    </r>
  </si>
  <si>
    <r>
      <rPr>
        <sz val="11"/>
        <rFont val="DejaVu Sans"/>
        <family val="2"/>
      </rPr>
      <t xml:space="preserve">연 보험료 </t>
    </r>
    <r>
      <rPr>
        <sz val="11"/>
        <rFont val="Arial"/>
        <family val="0"/>
        <charset val="1"/>
      </rPr>
      <t xml:space="preserve">(€)</t>
    </r>
  </si>
  <si>
    <r>
      <rPr>
        <sz val="11"/>
        <rFont val="DejaVu Sans"/>
        <family val="2"/>
      </rPr>
      <t xml:space="preserve">연 </t>
    </r>
    <r>
      <rPr>
        <sz val="11"/>
        <rFont val="Arial"/>
        <family val="0"/>
        <charset val="1"/>
      </rPr>
      <t xml:space="preserve">Motor Tax (€)</t>
    </r>
  </si>
  <si>
    <r>
      <rPr>
        <sz val="11"/>
        <rFont val="Arial"/>
        <family val="0"/>
        <charset val="1"/>
      </rPr>
      <t xml:space="preserve">NCT (</t>
    </r>
    <r>
      <rPr>
        <sz val="11"/>
        <rFont val="DejaVu Sans"/>
        <family val="2"/>
      </rPr>
      <t xml:space="preserve">격년 → 연 평균 €</t>
    </r>
    <r>
      <rPr>
        <sz val="11"/>
        <rFont val="Arial"/>
        <family val="0"/>
        <charset val="1"/>
      </rPr>
      <t xml:space="preserve">)</t>
    </r>
  </si>
  <si>
    <r>
      <rPr>
        <sz val="11"/>
        <rFont val="DejaVu Sans"/>
        <family val="2"/>
      </rPr>
      <t xml:space="preserve">연 정기 정비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소모품 충당 </t>
    </r>
    <r>
      <rPr>
        <sz val="11"/>
        <rFont val="Arial"/>
        <family val="0"/>
        <charset val="1"/>
      </rPr>
      <t xml:space="preserve">(€)</t>
    </r>
  </si>
  <si>
    <r>
      <rPr>
        <sz val="11"/>
        <rFont val="DejaVu Sans"/>
        <family val="2"/>
      </rPr>
      <t xml:space="preserve">연 큰수리 예비비 </t>
    </r>
    <r>
      <rPr>
        <sz val="11"/>
        <rFont val="Arial"/>
        <family val="0"/>
        <charset val="1"/>
      </rPr>
      <t xml:space="preserve">(€)</t>
    </r>
  </si>
  <si>
    <r>
      <rPr>
        <sz val="11"/>
        <rFont val="DejaVu Sans"/>
        <family val="2"/>
      </rPr>
      <t xml:space="preserve">잔여 차량 수명 </t>
    </r>
    <r>
      <rPr>
        <sz val="11"/>
        <rFont val="Arial"/>
        <family val="0"/>
        <charset val="1"/>
      </rPr>
      <t xml:space="preserve">(km)</t>
    </r>
  </si>
  <si>
    <r>
      <rPr>
        <sz val="11"/>
        <rFont val="DejaVu Sans"/>
        <family val="2"/>
      </rPr>
      <t xml:space="preserve">연 추정 운행 </t>
    </r>
    <r>
      <rPr>
        <sz val="11"/>
        <rFont val="Arial"/>
        <family val="0"/>
        <charset val="1"/>
      </rPr>
      <t xml:space="preserve">(km)</t>
    </r>
  </si>
  <si>
    <r>
      <rPr>
        <sz val="11"/>
        <rFont val="DejaVu Sans"/>
        <family val="2"/>
      </rPr>
      <t xml:space="preserve">내 시간당 단가 </t>
    </r>
    <r>
      <rPr>
        <sz val="11"/>
        <rFont val="Arial"/>
        <family val="0"/>
        <charset val="1"/>
      </rPr>
      <t xml:space="preserve">(€)</t>
    </r>
  </si>
  <si>
    <r>
      <rPr>
        <sz val="11"/>
        <rFont val="DejaVu Sans"/>
        <family val="2"/>
      </rPr>
      <t xml:space="preserve">이사 노동 시간당 단가 </t>
    </r>
    <r>
      <rPr>
        <sz val="11"/>
        <rFont val="Arial"/>
        <family val="0"/>
        <charset val="1"/>
      </rPr>
      <t xml:space="preserve">(€)</t>
    </r>
  </si>
  <si>
    <r>
      <rPr>
        <sz val="11"/>
        <rFont val="DejaVu Sans"/>
        <family val="2"/>
      </rPr>
      <t xml:space="preserve">톨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주차 평균 </t>
    </r>
    <r>
      <rPr>
        <sz val="11"/>
        <rFont val="Arial"/>
        <family val="0"/>
        <charset val="1"/>
      </rPr>
      <t xml:space="preserve">km</t>
    </r>
    <r>
      <rPr>
        <sz val="11"/>
        <rFont val="DejaVu Sans"/>
        <family val="2"/>
      </rPr>
      <t xml:space="preserve">당 </t>
    </r>
    <r>
      <rPr>
        <sz val="11"/>
        <rFont val="Arial"/>
        <family val="0"/>
        <charset val="1"/>
      </rPr>
      <t xml:space="preserve">(€)</t>
    </r>
  </si>
  <si>
    <r>
      <rPr>
        <sz val="11"/>
        <rFont val="DejaVu Sans"/>
        <family val="2"/>
      </rPr>
      <t xml:space="preserve">차량 길이 </t>
    </r>
    <r>
      <rPr>
        <sz val="11"/>
        <rFont val="Arial"/>
        <family val="0"/>
        <charset val="1"/>
      </rPr>
      <t xml:space="preserve">(mm)</t>
    </r>
  </si>
  <si>
    <r>
      <rPr>
        <sz val="11"/>
        <rFont val="DejaVu Sans"/>
        <family val="2"/>
      </rPr>
      <t xml:space="preserve">차량 폭 </t>
    </r>
    <r>
      <rPr>
        <sz val="11"/>
        <rFont val="Arial"/>
        <family val="0"/>
        <charset val="1"/>
      </rPr>
      <t xml:space="preserve">(mm)</t>
    </r>
  </si>
  <si>
    <t xml:space="preserve">차량 좌석 수</t>
  </si>
  <si>
    <r>
      <rPr>
        <sz val="11"/>
        <rFont val="DejaVu Sans"/>
        <family val="2"/>
      </rPr>
      <t xml:space="preserve">부트 적재 </t>
    </r>
    <r>
      <rPr>
        <sz val="11"/>
        <rFont val="Arial"/>
        <family val="0"/>
        <charset val="1"/>
      </rPr>
      <t xml:space="preserve">(5</t>
    </r>
    <r>
      <rPr>
        <sz val="11"/>
        <rFont val="DejaVu Sans"/>
        <family val="2"/>
      </rPr>
      <t xml:space="preserve">인승 모드</t>
    </r>
    <r>
      <rPr>
        <sz val="11"/>
        <rFont val="Arial"/>
        <family val="0"/>
        <charset val="1"/>
      </rPr>
      <t xml:space="preserve">, L)</t>
    </r>
  </si>
  <si>
    <r>
      <rPr>
        <sz val="11"/>
        <rFont val="DejaVu Sans"/>
        <family val="2"/>
      </rPr>
      <t xml:space="preserve">부트 적재 </t>
    </r>
    <r>
      <rPr>
        <sz val="11"/>
        <rFont val="Arial"/>
        <family val="0"/>
        <charset val="1"/>
      </rPr>
      <t xml:space="preserve">(3</t>
    </r>
    <r>
      <rPr>
        <sz val="11"/>
        <rFont val="DejaVu Sans"/>
        <family val="2"/>
      </rPr>
      <t xml:space="preserve">열 접음</t>
    </r>
    <r>
      <rPr>
        <sz val="11"/>
        <rFont val="Arial"/>
        <family val="0"/>
        <charset val="1"/>
      </rPr>
      <t xml:space="preserve">, L)</t>
    </r>
  </si>
  <si>
    <r>
      <rPr>
        <b val="true"/>
        <sz val="14"/>
        <color rgb="FF2C3E50"/>
        <rFont val="Arial"/>
        <family val="0"/>
        <charset val="1"/>
      </rPr>
      <t xml:space="preserve">📊 km</t>
    </r>
    <r>
      <rPr>
        <b val="true"/>
        <sz val="14"/>
        <color rgb="FF2C3E50"/>
        <rFont val="DejaVu Sans"/>
        <family val="2"/>
      </rPr>
      <t xml:space="preserve">당 비용 모델 </t>
    </r>
    <r>
      <rPr>
        <b val="true"/>
        <sz val="14"/>
        <color rgb="FF2C3E50"/>
        <rFont val="Arial"/>
        <family val="0"/>
        <charset val="1"/>
      </rPr>
      <t xml:space="preserve">(</t>
    </r>
    <r>
      <rPr>
        <b val="true"/>
        <sz val="14"/>
        <color rgb="FF2C3E50"/>
        <rFont val="DejaVu Sans"/>
        <family val="2"/>
      </rPr>
      <t xml:space="preserve">자동 계산</t>
    </r>
    <r>
      <rPr>
        <b val="true"/>
        <sz val="14"/>
        <color rgb="FF2C3E50"/>
        <rFont val="Arial"/>
        <family val="0"/>
        <charset val="1"/>
      </rPr>
      <t xml:space="preserve">)</t>
    </r>
  </si>
  <si>
    <t xml:space="preserve">항목</t>
  </si>
  <si>
    <r>
      <rPr>
        <b val="true"/>
        <sz val="11"/>
        <color rgb="FFFFFFFF"/>
        <rFont val="DejaVu Sans"/>
        <family val="2"/>
      </rPr>
      <t xml:space="preserve">연 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</si>
  <si>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Arial"/>
        <family val="0"/>
        <charset val="1"/>
      </rPr>
      <t xml:space="preserve">km</t>
    </r>
    <r>
      <rPr>
        <b val="true"/>
        <sz val="11"/>
        <color rgb="FFFFFFFF"/>
        <rFont val="DejaVu Sans"/>
        <family val="2"/>
      </rPr>
      <t xml:space="preserve">당 </t>
    </r>
    <r>
      <rPr>
        <b val="true"/>
        <sz val="11"/>
        <color rgb="FFFFFFFF"/>
        <rFont val="Arial"/>
        <family val="0"/>
        <charset val="1"/>
      </rPr>
      <t xml:space="preserve">(€)</t>
    </r>
  </si>
  <si>
    <t xml:space="preserve">메모</t>
  </si>
  <si>
    <t xml:space="preserve">연료</t>
  </si>
  <si>
    <r>
      <rPr>
        <i val="true"/>
        <sz val="9"/>
        <color rgb="FF7F8C8D"/>
        <rFont val="Arial"/>
        <family val="0"/>
        <charset val="1"/>
      </rPr>
      <t xml:space="preserve">€2/L ÷ 16km/L = km</t>
    </r>
    <r>
      <rPr>
        <i val="true"/>
        <sz val="9"/>
        <color rgb="FF7F8C8D"/>
        <rFont val="DejaVu Sans"/>
        <family val="2"/>
      </rPr>
      <t xml:space="preserve">당 연료비</t>
    </r>
  </si>
  <si>
    <r>
      <rPr>
        <sz val="11"/>
        <rFont val="DejaVu Sans"/>
        <family val="2"/>
      </rPr>
      <t xml:space="preserve">톨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주차 평균</t>
    </r>
  </si>
  <si>
    <t xml:space="preserve">장거리 평균 추정값</t>
  </si>
  <si>
    <t xml:space="preserve">보험</t>
  </si>
  <si>
    <t xml:space="preserve">Motor Tax</t>
  </si>
  <si>
    <r>
      <rPr>
        <sz val="11"/>
        <rFont val="Arial"/>
        <family val="0"/>
        <charset val="1"/>
      </rPr>
      <t xml:space="preserve">NCT (</t>
    </r>
    <r>
      <rPr>
        <sz val="11"/>
        <rFont val="DejaVu Sans"/>
        <family val="2"/>
      </rPr>
      <t xml:space="preserve">연 평균</t>
    </r>
    <r>
      <rPr>
        <sz val="11"/>
        <rFont val="Arial"/>
        <family val="0"/>
        <charset val="1"/>
      </rPr>
      <t xml:space="preserve">)</t>
    </r>
  </si>
  <si>
    <t xml:space="preserve">격년 평균</t>
  </si>
  <si>
    <r>
      <rPr>
        <sz val="11"/>
        <rFont val="DejaVu Sans"/>
        <family val="2"/>
      </rPr>
      <t xml:space="preserve">정기 정비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소모품</t>
    </r>
  </si>
  <si>
    <r>
      <rPr>
        <i val="true"/>
        <sz val="9"/>
        <color rgb="FF7F8C8D"/>
        <rFont val="DejaVu Sans"/>
        <family val="2"/>
      </rPr>
      <t xml:space="preserve">오일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타이어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브레이크 충당</t>
    </r>
  </si>
  <si>
    <t xml:space="preserve">큰수리 예비</t>
  </si>
  <si>
    <r>
      <rPr>
        <i val="true"/>
        <sz val="9"/>
        <color rgb="FF7F8C8D"/>
        <rFont val="Arial"/>
        <family val="0"/>
        <charset val="1"/>
      </rPr>
      <t xml:space="preserve">18</t>
    </r>
    <r>
      <rPr>
        <i val="true"/>
        <sz val="9"/>
        <color rgb="FF7F8C8D"/>
        <rFont val="DejaVu Sans"/>
        <family val="2"/>
      </rPr>
      <t xml:space="preserve">만 </t>
    </r>
    <r>
      <rPr>
        <i val="true"/>
        <sz val="9"/>
        <color rgb="FF7F8C8D"/>
        <rFont val="Arial"/>
        <family val="0"/>
        <charset val="1"/>
      </rPr>
      <t xml:space="preserve">km </t>
    </r>
    <r>
      <rPr>
        <i val="true"/>
        <sz val="9"/>
        <color rgb="FF7F8C8D"/>
        <rFont val="DejaVu Sans"/>
        <family val="2"/>
      </rPr>
      <t xml:space="preserve">디젤 — 터보</t>
    </r>
    <r>
      <rPr>
        <i val="true"/>
        <sz val="9"/>
        <color rgb="FF7F8C8D"/>
        <rFont val="Arial"/>
        <family val="0"/>
        <charset val="1"/>
      </rPr>
      <t xml:space="preserve">·DPF·</t>
    </r>
    <r>
      <rPr>
        <i val="true"/>
        <sz val="9"/>
        <color rgb="FF7F8C8D"/>
        <rFont val="DejaVu Sans"/>
        <family val="2"/>
      </rPr>
      <t xml:space="preserve">클러치 충당</t>
    </r>
  </si>
  <si>
    <t xml:space="preserve">감가상각</t>
  </si>
  <si>
    <r>
      <rPr>
        <i val="true"/>
        <sz val="9"/>
        <color rgb="FF7F8C8D"/>
        <rFont val="DejaVu Sans"/>
        <family val="2"/>
      </rPr>
      <t xml:space="preserve">구매가 </t>
    </r>
    <r>
      <rPr>
        <i val="true"/>
        <sz val="9"/>
        <color rgb="FF7F8C8D"/>
        <rFont val="Arial"/>
        <family val="0"/>
        <charset val="1"/>
      </rPr>
      <t xml:space="preserve">÷ </t>
    </r>
    <r>
      <rPr>
        <i val="true"/>
        <sz val="9"/>
        <color rgb="FF7F8C8D"/>
        <rFont val="DejaVu Sans"/>
        <family val="2"/>
      </rPr>
      <t xml:space="preserve">잔여 수명</t>
    </r>
  </si>
  <si>
    <t xml:space="preserve">   ↳ 변동비 소계</t>
  </si>
  <si>
    <r>
      <rPr>
        <i val="true"/>
        <sz val="9"/>
        <color rgb="FF7F8C8D"/>
        <rFont val="DejaVu Sans"/>
        <family val="2"/>
      </rPr>
      <t xml:space="preserve">연료 </t>
    </r>
    <r>
      <rPr>
        <i val="true"/>
        <sz val="9"/>
        <color rgb="FF7F8C8D"/>
        <rFont val="Arial"/>
        <family val="0"/>
        <charset val="1"/>
      </rPr>
      <t xml:space="preserve">+ </t>
    </r>
    <r>
      <rPr>
        <i val="true"/>
        <sz val="9"/>
        <color rgb="FF7F8C8D"/>
        <rFont val="DejaVu Sans"/>
        <family val="2"/>
      </rPr>
      <t xml:space="preserve">톨</t>
    </r>
    <r>
      <rPr>
        <i val="true"/>
        <sz val="9"/>
        <color rgb="FF7F8C8D"/>
        <rFont val="Arial"/>
        <family val="0"/>
        <charset val="1"/>
      </rPr>
      <t xml:space="preserve">/</t>
    </r>
    <r>
      <rPr>
        <i val="true"/>
        <sz val="9"/>
        <color rgb="FF7F8C8D"/>
        <rFont val="DejaVu Sans"/>
        <family val="2"/>
      </rPr>
      <t xml:space="preserve">주차</t>
    </r>
  </si>
  <si>
    <r>
      <rPr>
        <b val="true"/>
        <sz val="11"/>
        <color rgb="FF2C3E50"/>
        <rFont val="DejaVu Sans"/>
        <family val="2"/>
      </rPr>
      <t xml:space="preserve">   ↳ 고정</t>
    </r>
    <r>
      <rPr>
        <b val="true"/>
        <sz val="11"/>
        <color rgb="FF2C3E50"/>
        <rFont val="Arial"/>
        <family val="0"/>
        <charset val="1"/>
      </rPr>
      <t xml:space="preserve">·</t>
    </r>
    <r>
      <rPr>
        <b val="true"/>
        <sz val="11"/>
        <color rgb="FF2C3E50"/>
        <rFont val="DejaVu Sans"/>
        <family val="2"/>
      </rPr>
      <t xml:space="preserve">마모</t>
    </r>
    <r>
      <rPr>
        <b val="true"/>
        <sz val="11"/>
        <color rgb="FF2C3E50"/>
        <rFont val="Arial"/>
        <family val="0"/>
        <charset val="1"/>
      </rPr>
      <t xml:space="preserve">·</t>
    </r>
    <r>
      <rPr>
        <b val="true"/>
        <sz val="11"/>
        <color rgb="FF2C3E50"/>
        <rFont val="DejaVu Sans"/>
        <family val="2"/>
      </rPr>
      <t xml:space="preserve">감가 소계</t>
    </r>
  </si>
  <si>
    <r>
      <rPr>
        <i val="true"/>
        <sz val="9"/>
        <color rgb="FF7F8C8D"/>
        <rFont val="DejaVu Sans"/>
        <family val="2"/>
      </rPr>
      <t xml:space="preserve">보험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세금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정비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큰수리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감가</t>
    </r>
  </si>
  <si>
    <r>
      <rPr>
        <b val="true"/>
        <sz val="12"/>
        <color rgb="FF2C3E50"/>
        <rFont val="DejaVu Sans"/>
        <family val="2"/>
      </rPr>
      <t xml:space="preserve">🟦 진짜 </t>
    </r>
    <r>
      <rPr>
        <b val="true"/>
        <sz val="12"/>
        <color rgb="FF2C3E50"/>
        <rFont val="Arial"/>
        <family val="0"/>
        <charset val="1"/>
      </rPr>
      <t xml:space="preserve">km</t>
    </r>
    <r>
      <rPr>
        <b val="true"/>
        <sz val="12"/>
        <color rgb="FF2C3E50"/>
        <rFont val="DejaVu Sans"/>
        <family val="2"/>
      </rPr>
      <t xml:space="preserve">당 실비 </t>
    </r>
    <r>
      <rPr>
        <b val="true"/>
        <sz val="12"/>
        <color rgb="FF2C3E50"/>
        <rFont val="Arial"/>
        <family val="0"/>
        <charset val="1"/>
      </rPr>
      <t xml:space="preserve">(</t>
    </r>
    <r>
      <rPr>
        <b val="true"/>
        <sz val="12"/>
        <color rgb="FF2C3E50"/>
        <rFont val="DejaVu Sans"/>
        <family val="2"/>
      </rPr>
      <t xml:space="preserve">적자 분기점</t>
    </r>
    <r>
      <rPr>
        <b val="true"/>
        <sz val="12"/>
        <color rgb="FF2C3E50"/>
        <rFont val="Arial"/>
        <family val="0"/>
        <charset val="1"/>
      </rPr>
      <t xml:space="preserve">)</t>
    </r>
  </si>
  <si>
    <r>
      <rPr>
        <b val="true"/>
        <sz val="11"/>
        <color rgb="FF2C3E50"/>
        <rFont val="DejaVu Sans"/>
        <family val="2"/>
      </rPr>
      <t xml:space="preserve">   ↳ 마모</t>
    </r>
    <r>
      <rPr>
        <b val="true"/>
        <sz val="11"/>
        <color rgb="FF2C3E50"/>
        <rFont val="Arial"/>
        <family val="0"/>
        <charset val="1"/>
      </rPr>
      <t xml:space="preserve">/</t>
    </r>
    <r>
      <rPr>
        <b val="true"/>
        <sz val="11"/>
        <color rgb="FF2C3E50"/>
        <rFont val="DejaVu Sans"/>
        <family val="2"/>
      </rPr>
      <t xml:space="preserve">감가만 </t>
    </r>
    <r>
      <rPr>
        <b val="true"/>
        <sz val="11"/>
        <color rgb="FF2C3E50"/>
        <rFont val="Arial"/>
        <family val="0"/>
        <charset val="1"/>
      </rPr>
      <t xml:space="preserve">(</t>
    </r>
    <r>
      <rPr>
        <b val="true"/>
        <sz val="11"/>
        <color rgb="FF2C3E50"/>
        <rFont val="DejaVu Sans"/>
        <family val="2"/>
      </rPr>
      <t xml:space="preserve">어제 같은 트립에 사용</t>
    </r>
    <r>
      <rPr>
        <b val="true"/>
        <sz val="11"/>
        <color rgb="FF2C3E50"/>
        <rFont val="Arial"/>
        <family val="0"/>
        <charset val="1"/>
      </rPr>
      <t xml:space="preserve">)</t>
    </r>
  </si>
  <si>
    <t xml:space="preserve">친구 보조금 계산용</t>
  </si>
  <si>
    <r>
      <rPr>
        <b val="true"/>
        <sz val="18"/>
        <color rgb="FF2C3E50"/>
        <rFont val="DejaVu Sans"/>
        <family val="2"/>
      </rPr>
      <t xml:space="preserve">💰 가격 가이드 </t>
    </r>
    <r>
      <rPr>
        <b val="true"/>
        <sz val="18"/>
        <color rgb="FF2C3E50"/>
        <rFont val="Arial"/>
        <family val="0"/>
        <charset val="1"/>
      </rPr>
      <t xml:space="preserve">v2 (2026-04 / IKEA Tier A </t>
    </r>
    <r>
      <rPr>
        <b val="true"/>
        <sz val="18"/>
        <color rgb="FF2C3E50"/>
        <rFont val="DejaVu Sans"/>
        <family val="2"/>
      </rPr>
      <t xml:space="preserve">분리</t>
    </r>
    <r>
      <rPr>
        <b val="true"/>
        <sz val="18"/>
        <color rgb="FF2C3E50"/>
        <rFont val="Arial"/>
        <family val="0"/>
        <charset val="1"/>
      </rPr>
      <t xml:space="preserve">)</t>
    </r>
  </si>
  <si>
    <r>
      <rPr>
        <b val="true"/>
        <sz val="14"/>
        <color rgb="FF2C3E50"/>
        <rFont val="DejaVu Sans"/>
        <family val="2"/>
      </rPr>
      <t xml:space="preserve">🚗 이동 모드 </t>
    </r>
    <r>
      <rPr>
        <b val="true"/>
        <sz val="14"/>
        <color rgb="FF2C3E50"/>
        <rFont val="Arial"/>
        <family val="0"/>
        <charset val="1"/>
      </rPr>
      <t xml:space="preserve">(</t>
    </r>
    <r>
      <rPr>
        <b val="true"/>
        <sz val="14"/>
        <color rgb="FF2C3E50"/>
        <rFont val="DejaVu Sans"/>
        <family val="2"/>
      </rPr>
      <t xml:space="preserve">네가 일하러 움직임</t>
    </r>
    <r>
      <rPr>
        <b val="true"/>
        <sz val="14"/>
        <color rgb="FF2C3E50"/>
        <rFont val="Arial"/>
        <family val="0"/>
        <charset val="1"/>
      </rPr>
      <t xml:space="preserve">)</t>
    </r>
  </si>
  <si>
    <t xml:space="preserve">서비스</t>
  </si>
  <si>
    <r>
      <rPr>
        <b val="true"/>
        <sz val="11"/>
        <color rgb="FFFFFFFF"/>
        <rFont val="DejaVu Sans"/>
        <family val="2"/>
      </rPr>
      <t xml:space="preserve">권장가 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</si>
  <si>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Arial"/>
        <family val="0"/>
        <charset val="1"/>
      </rPr>
      <t xml:space="preserve">Red Door </t>
    </r>
    <r>
      <rPr>
        <b val="true"/>
        <sz val="11"/>
        <color rgb="FFFFFFFF"/>
        <rFont val="DejaVu Sans"/>
        <family val="2"/>
      </rPr>
      <t xml:space="preserve">비교</t>
    </r>
  </si>
  <si>
    <r>
      <rPr>
        <b val="true"/>
        <sz val="11"/>
        <color rgb="FFFFFFFF"/>
        <rFont val="DejaVu Sans"/>
        <family val="2"/>
      </rPr>
      <t xml:space="preserve">시간 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</si>
  <si>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sz val="11"/>
        <rFont val="DejaVu Sans"/>
        <family val="2"/>
      </rPr>
      <t xml:space="preserve">시내 픽업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샌딩 </t>
    </r>
    <r>
      <rPr>
        <sz val="11"/>
        <rFont val="Arial"/>
        <family val="0"/>
        <charset val="1"/>
      </rPr>
      <t xml:space="preserve">(D1–D8)</t>
    </r>
  </si>
  <si>
    <t xml:space="preserve">−€5 (Red Door €50)</t>
  </si>
  <si>
    <r>
      <rPr>
        <i val="true"/>
        <sz val="9"/>
        <color rgb="FF7F8C8D"/>
        <rFont val="DejaVu Sans"/>
        <family val="2"/>
      </rPr>
      <t xml:space="preserve">톨</t>
    </r>
    <r>
      <rPr>
        <i val="true"/>
        <sz val="9"/>
        <color rgb="FF7F8C8D"/>
        <rFont val="Arial"/>
        <family val="0"/>
        <charset val="1"/>
      </rPr>
      <t xml:space="preserve">·1h </t>
    </r>
    <r>
      <rPr>
        <i val="true"/>
        <sz val="9"/>
        <color rgb="FF7F8C8D"/>
        <rFont val="DejaVu Sans"/>
        <family val="2"/>
      </rPr>
      <t xml:space="preserve">대기 포함</t>
    </r>
  </si>
  <si>
    <r>
      <rPr>
        <sz val="11"/>
        <rFont val="DejaVu Sans"/>
        <family val="2"/>
      </rPr>
      <t xml:space="preserve">외곽 </t>
    </r>
    <r>
      <rPr>
        <sz val="11"/>
        <rFont val="Arial"/>
        <family val="0"/>
        <charset val="1"/>
      </rPr>
      <t xml:space="preserve">(D6W·D9·D15·D24)</t>
    </r>
  </si>
  <si>
    <t xml:space="preserve">50–55</t>
  </si>
  <si>
    <t xml:space="preserve">무경쟁</t>
  </si>
  <si>
    <r>
      <rPr>
        <i val="true"/>
        <sz val="9"/>
        <color rgb="FF7F8C8D"/>
        <rFont val="Arial"/>
        <family val="0"/>
        <charset val="1"/>
      </rPr>
      <t xml:space="preserve">12km </t>
    </r>
    <r>
      <rPr>
        <i val="true"/>
        <sz val="9"/>
        <color rgb="FF7F8C8D"/>
        <rFont val="DejaVu Sans"/>
        <family val="2"/>
      </rPr>
      <t xml:space="preserve">초과분 €</t>
    </r>
    <r>
      <rPr>
        <i val="true"/>
        <sz val="9"/>
        <color rgb="FF7F8C8D"/>
        <rFont val="Arial"/>
        <family val="0"/>
        <charset val="1"/>
      </rPr>
      <t xml:space="preserve">1.5/km</t>
    </r>
  </si>
  <si>
    <t xml:space="preserve">Maynooth/Lucan (~25km)</t>
  </si>
  <si>
    <t xml:space="preserve">Bray/Greystones (~25–35km)</t>
  </si>
  <si>
    <t xml:space="preserve">65–80</t>
  </si>
  <si>
    <t xml:space="preserve">Drogheda (50km)</t>
  </si>
  <si>
    <t xml:space="preserve">Wicklow Town (50km)</t>
  </si>
  <si>
    <r>
      <rPr>
        <sz val="11"/>
        <rFont val="DejaVu Sans"/>
        <family val="2"/>
      </rPr>
      <t xml:space="preserve">지방 </t>
    </r>
    <r>
      <rPr>
        <sz val="11"/>
        <rFont val="Arial"/>
        <family val="0"/>
        <charset val="1"/>
      </rPr>
      <t xml:space="preserve">(Belfast/Galway/Cork)</t>
    </r>
  </si>
  <si>
    <t xml:space="preserve">별도 견적</t>
  </si>
  <si>
    <t xml:space="preserve">4+</t>
  </si>
  <si>
    <r>
      <rPr>
        <i val="true"/>
        <sz val="9"/>
        <color rgb="FF7F8C8D"/>
        <rFont val="Arial"/>
        <family val="0"/>
        <charset val="1"/>
      </rPr>
      <t xml:space="preserve">km × €1.5 + </t>
    </r>
    <r>
      <rPr>
        <i val="true"/>
        <sz val="9"/>
        <color rgb="FF7F8C8D"/>
        <rFont val="DejaVu Sans"/>
        <family val="2"/>
      </rPr>
      <t xml:space="preserve">시간 </t>
    </r>
    <r>
      <rPr>
        <i val="true"/>
        <sz val="9"/>
        <color rgb="FF7F8C8D"/>
        <rFont val="Arial"/>
        <family val="0"/>
        <charset val="1"/>
      </rPr>
      <t xml:space="preserve">× €15</t>
    </r>
  </si>
  <si>
    <r>
      <rPr>
        <sz val="11"/>
        <rFont val="DejaVu Sans"/>
        <family val="2"/>
      </rPr>
      <t xml:space="preserve">야간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새벽 </t>
    </r>
    <r>
      <rPr>
        <sz val="11"/>
        <rFont val="Arial"/>
        <family val="0"/>
        <charset val="1"/>
      </rPr>
      <t xml:space="preserve">(22–06</t>
    </r>
    <r>
      <rPr>
        <sz val="11"/>
        <rFont val="DejaVu Sans"/>
        <family val="2"/>
      </rPr>
      <t xml:space="preserve">시</t>
    </r>
    <r>
      <rPr>
        <sz val="11"/>
        <rFont val="Arial"/>
        <family val="0"/>
        <charset val="1"/>
      </rPr>
      <t xml:space="preserve">)</t>
    </r>
  </si>
  <si>
    <t xml:space="preserve">+€10</t>
  </si>
  <si>
    <t xml:space="preserve">모든 픽업 공통</t>
  </si>
  <si>
    <t xml:space="preserve">공휴일</t>
  </si>
  <si>
    <r>
      <rPr>
        <sz val="11"/>
        <rFont val="DejaVu Sans"/>
        <family val="2"/>
      </rPr>
      <t xml:space="preserve">시내 짐 운송 </t>
    </r>
    <r>
      <rPr>
        <sz val="11"/>
        <rFont val="Arial"/>
        <family val="0"/>
        <charset val="1"/>
      </rPr>
      <t xml:space="preserve">(1h, </t>
    </r>
    <r>
      <rPr>
        <sz val="11"/>
        <rFont val="DejaVu Sans"/>
        <family val="2"/>
      </rPr>
      <t xml:space="preserve">캐리어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박스</t>
    </r>
    <r>
      <rPr>
        <sz val="11"/>
        <rFont val="Arial"/>
        <family val="0"/>
        <charset val="1"/>
      </rPr>
      <t xml:space="preserve">)</t>
    </r>
  </si>
  <si>
    <t xml:space="preserve">−€5 (Red Door €45)</t>
  </si>
  <si>
    <r>
      <rPr>
        <sz val="11"/>
        <rFont val="Arial"/>
        <family val="0"/>
        <charset val="1"/>
      </rPr>
      <t xml:space="preserve">IKEA Tier A — Zone 1: IKEA 0–10km (</t>
    </r>
    <r>
      <rPr>
        <sz val="11"/>
        <rFont val="DejaVu Sans"/>
        <family val="2"/>
      </rPr>
      <t xml:space="preserve">시내</t>
    </r>
    <r>
      <rPr>
        <sz val="11"/>
        <rFont val="Arial"/>
        <family val="0"/>
        <charset val="1"/>
      </rPr>
      <t xml:space="preserve">·D9·D15)</t>
    </r>
  </si>
  <si>
    <t xml:space="preserve">vs Man with a Van €60+</t>
  </si>
  <si>
    <r>
      <rPr>
        <i val="true"/>
        <sz val="9"/>
        <color rgb="FF7F8C8D"/>
        <rFont val="DejaVu Sans"/>
        <family val="2"/>
      </rPr>
      <t xml:space="preserve">대표</t>
    </r>
    <r>
      <rPr>
        <i val="true"/>
        <sz val="9"/>
        <color rgb="FF7F8C8D"/>
        <rFont val="Arial"/>
        <family val="0"/>
        <charset val="1"/>
      </rPr>
      <t xml:space="preserve">: D1–D8</t>
    </r>
  </si>
  <si>
    <t xml:space="preserve">IKEA Tier A — Zone 2: IKEA 10–20km (D24·Tallaght·Lucan)</t>
  </si>
  <si>
    <t xml:space="preserve">IKEA Tier A — Zone 3: IKEA 20–30km (Maynooth·Bray)</t>
  </si>
  <si>
    <t xml:space="preserve">IKEA Tier A — Zone 4: IKEA 30–50km (Drogheda·Naas·Wicklow Town)</t>
  </si>
  <si>
    <t xml:space="preserve">IKEA Tier A — Zone 5: IKEA 50km+</t>
  </si>
  <si>
    <t xml:space="preserve">3+</t>
  </si>
  <si>
    <r>
      <rPr>
        <i val="true"/>
        <sz val="9"/>
        <color rgb="FF7F8C8D"/>
        <rFont val="Arial"/>
        <family val="0"/>
        <charset val="1"/>
      </rPr>
      <t xml:space="preserve">€50 + (</t>
    </r>
    <r>
      <rPr>
        <i val="true"/>
        <sz val="9"/>
        <color rgb="FF7F8C8D"/>
        <rFont val="DejaVu Sans"/>
        <family val="2"/>
      </rPr>
      <t xml:space="preserve">거리−</t>
    </r>
    <r>
      <rPr>
        <i val="true"/>
        <sz val="9"/>
        <color rgb="FF7F8C8D"/>
        <rFont val="Arial"/>
        <family val="0"/>
        <charset val="1"/>
      </rPr>
      <t xml:space="preserve">10)×€2</t>
    </r>
  </si>
  <si>
    <r>
      <rPr>
        <sz val="11"/>
        <rFont val="Arial"/>
        <family val="0"/>
        <charset val="1"/>
      </rPr>
      <t xml:space="preserve">IKEA Tier B·C (</t>
    </r>
    <r>
      <rPr>
        <sz val="11"/>
        <rFont val="DejaVu Sans"/>
        <family val="2"/>
      </rPr>
      <t xml:space="preserve">동행 </t>
    </r>
    <r>
      <rPr>
        <sz val="11"/>
        <rFont val="Arial"/>
        <family val="0"/>
        <charset val="1"/>
      </rPr>
      <t xml:space="preserve">+ </t>
    </r>
    <r>
      <rPr>
        <sz val="11"/>
        <rFont val="DejaVu Sans"/>
        <family val="2"/>
      </rPr>
      <t xml:space="preserve">큰 가구</t>
    </r>
    <r>
      <rPr>
        <sz val="11"/>
        <rFont val="Arial"/>
        <family val="0"/>
        <charset val="1"/>
      </rPr>
      <t xml:space="preserve">)</t>
    </r>
  </si>
  <si>
    <t xml:space="preserve">TBD</t>
  </si>
  <si>
    <t xml:space="preserve">추후</t>
  </si>
  <si>
    <t xml:space="preserve">—</t>
  </si>
  <si>
    <r>
      <rPr>
        <i val="true"/>
        <sz val="9"/>
        <color rgb="FF7F8C8D"/>
        <rFont val="DejaVu Sans"/>
        <family val="2"/>
      </rPr>
      <t xml:space="preserve">검증 후 </t>
    </r>
    <r>
      <rPr>
        <i val="true"/>
        <sz val="9"/>
        <color rgb="FF7F8C8D"/>
        <rFont val="Arial"/>
        <family val="0"/>
        <charset val="1"/>
      </rPr>
      <t xml:space="preserve">v3 </t>
    </r>
    <r>
      <rPr>
        <i val="true"/>
        <sz val="9"/>
        <color rgb="FF7F8C8D"/>
        <rFont val="DejaVu Sans"/>
        <family val="2"/>
      </rPr>
      <t xml:space="preserve">추가</t>
    </r>
  </si>
  <si>
    <r>
      <rPr>
        <sz val="11"/>
        <rFont val="DejaVu Sans"/>
        <family val="2"/>
      </rPr>
      <t xml:space="preserve">큰 장보기 </t>
    </r>
    <r>
      <rPr>
        <sz val="11"/>
        <rFont val="Arial"/>
        <family val="0"/>
        <charset val="1"/>
      </rPr>
      <t xml:space="preserve">(Costco/Lidl)</t>
    </r>
  </si>
  <si>
    <r>
      <rPr>
        <sz val="11"/>
        <rFont val="DejaVu Sans"/>
        <family val="2"/>
      </rPr>
      <t xml:space="preserve">소형 이사 </t>
    </r>
    <r>
      <rPr>
        <sz val="11"/>
        <rFont val="Arial"/>
        <family val="0"/>
        <charset val="1"/>
      </rPr>
      <t xml:space="preserve">1bed (4h, </t>
    </r>
    <r>
      <rPr>
        <sz val="11"/>
        <rFont val="DejaVu Sans"/>
        <family val="2"/>
      </rPr>
      <t xml:space="preserve">고객 도움</t>
    </r>
    <r>
      <rPr>
        <sz val="11"/>
        <rFont val="Arial"/>
        <family val="0"/>
        <charset val="1"/>
      </rPr>
      <t xml:space="preserve">)</t>
    </r>
  </si>
  <si>
    <t xml:space="preserve">130–150</t>
  </si>
  <si>
    <r>
      <rPr>
        <sz val="11"/>
        <rFont val="DejaVu Sans"/>
        <family val="2"/>
      </rPr>
      <t xml:space="preserve">소형 이사 </t>
    </r>
    <r>
      <rPr>
        <sz val="11"/>
        <rFont val="Arial"/>
        <family val="0"/>
        <charset val="1"/>
      </rPr>
      <t xml:space="preserve">1bed (4h, </t>
    </r>
    <r>
      <rPr>
        <sz val="11"/>
        <rFont val="DejaVu Sans"/>
        <family val="2"/>
      </rPr>
      <t xml:space="preserve">너 단독</t>
    </r>
    <r>
      <rPr>
        <sz val="11"/>
        <rFont val="Arial"/>
        <family val="0"/>
        <charset val="1"/>
      </rPr>
      <t xml:space="preserve">)</t>
    </r>
  </si>
  <si>
    <t xml:space="preserve">180–220</t>
  </si>
  <si>
    <t xml:space="preserve">시간 초과</t>
  </si>
  <si>
    <t xml:space="preserve">+€20/h</t>
  </si>
  <si>
    <r>
      <rPr>
        <i val="true"/>
        <sz val="9"/>
        <color rgb="FF7F8C8D"/>
        <rFont val="Arial"/>
        <family val="0"/>
        <charset val="1"/>
      </rPr>
      <t xml:space="preserve">4h </t>
    </r>
    <r>
      <rPr>
        <i val="true"/>
        <sz val="9"/>
        <color rgb="FF7F8C8D"/>
        <rFont val="DejaVu Sans"/>
        <family val="2"/>
      </rPr>
      <t xml:space="preserve">초과 시 명시</t>
    </r>
  </si>
  <si>
    <r>
      <rPr>
        <b val="true"/>
        <sz val="14"/>
        <color rgb="FF2C3E50"/>
        <rFont val="DejaVu Sans"/>
        <family val="2"/>
      </rPr>
      <t xml:space="preserve">🌿 여행 모드 </t>
    </r>
    <r>
      <rPr>
        <b val="true"/>
        <sz val="14"/>
        <color rgb="FF2C3E50"/>
        <rFont val="Arial"/>
        <family val="0"/>
        <charset val="1"/>
      </rPr>
      <t xml:space="preserve">(km × €/km × </t>
    </r>
    <r>
      <rPr>
        <b val="true"/>
        <sz val="14"/>
        <color rgb="FF2C3E50"/>
        <rFont val="DejaVu Sans"/>
        <family val="2"/>
      </rPr>
      <t xml:space="preserve">인원</t>
    </r>
    <r>
      <rPr>
        <b val="true"/>
        <sz val="14"/>
        <color rgb="FF2C3E50"/>
        <rFont val="Arial"/>
        <family val="0"/>
        <charset val="1"/>
      </rPr>
      <t xml:space="preserve">)</t>
    </r>
  </si>
  <si>
    <t xml:space="preserve">티어</t>
  </si>
  <si>
    <r>
      <rPr>
        <b val="true"/>
        <sz val="11"/>
        <color rgb="FFFFFFFF"/>
        <rFont val="Arial"/>
        <family val="0"/>
        <charset val="1"/>
      </rPr>
      <t xml:space="preserve">km</t>
    </r>
    <r>
      <rPr>
        <b val="true"/>
        <sz val="11"/>
        <color rgb="FFFFFFFF"/>
        <rFont val="DejaVu Sans"/>
        <family val="2"/>
      </rPr>
      <t xml:space="preserve">당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인 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</si>
  <si>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DejaVu Sans"/>
        <family val="2"/>
      </rPr>
      <t xml:space="preserve">명 그룹 </t>
    </r>
    <r>
      <rPr>
        <b val="true"/>
        <sz val="11"/>
        <color rgb="FFFFFFFF"/>
        <rFont val="Arial"/>
        <family val="0"/>
        <charset val="1"/>
      </rPr>
      <t xml:space="preserve">200km </t>
    </r>
    <r>
      <rPr>
        <b val="true"/>
        <sz val="11"/>
        <color rgb="FFFFFFFF"/>
        <rFont val="DejaVu Sans"/>
        <family val="2"/>
      </rPr>
      <t xml:space="preserve">시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인 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</si>
  <si>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Arial"/>
        <family val="0"/>
        <charset val="1"/>
      </rPr>
      <t xml:space="preserve">6</t>
    </r>
    <r>
      <rPr>
        <b val="true"/>
        <sz val="11"/>
        <color rgb="FFFFFFFF"/>
        <rFont val="DejaVu Sans"/>
        <family val="2"/>
      </rPr>
      <t xml:space="preserve">명 그룹 </t>
    </r>
    <r>
      <rPr>
        <b val="true"/>
        <sz val="11"/>
        <color rgb="FFFFFFFF"/>
        <rFont val="Arial"/>
        <family val="0"/>
        <charset val="1"/>
      </rPr>
      <t xml:space="preserve">200km </t>
    </r>
    <r>
      <rPr>
        <b val="true"/>
        <sz val="11"/>
        <color rgb="FFFFFFFF"/>
        <rFont val="DejaVu Sans"/>
        <family val="2"/>
      </rPr>
      <t xml:space="preserve">시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인 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</si>
  <si>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2C3E50"/>
        <rFont val="DejaVu Sans"/>
        <family val="2"/>
      </rPr>
      <t xml:space="preserve">🟢 절친 </t>
    </r>
    <r>
      <rPr>
        <b val="true"/>
        <sz val="11"/>
        <color rgb="FF2C3E50"/>
        <rFont val="Arial"/>
        <family val="0"/>
        <charset val="1"/>
      </rPr>
      <t xml:space="preserve">(Tier 1)</t>
    </r>
  </si>
  <si>
    <r>
      <rPr>
        <i val="true"/>
        <sz val="9"/>
        <color rgb="FF7F8C8D"/>
        <rFont val="DejaVu Sans"/>
        <family val="2"/>
      </rPr>
      <t xml:space="preserve">의도된 보조금 </t>
    </r>
    <r>
      <rPr>
        <i val="true"/>
        <sz val="9"/>
        <color rgb="FF7F8C8D"/>
        <rFont val="Arial"/>
        <family val="0"/>
        <charset val="1"/>
      </rPr>
      <t xml:space="preserve">+ </t>
    </r>
    <r>
      <rPr>
        <i val="true"/>
        <sz val="9"/>
        <color rgb="FF7F8C8D"/>
        <rFont val="DejaVu Sans"/>
        <family val="2"/>
      </rPr>
      <t xml:space="preserve">친구 모드</t>
    </r>
  </si>
  <si>
    <r>
      <rPr>
        <b val="true"/>
        <sz val="11"/>
        <color rgb="FF2C3E50"/>
        <rFont val="DejaVu Sans"/>
        <family val="2"/>
      </rPr>
      <t xml:space="preserve">🟡 친구 </t>
    </r>
    <r>
      <rPr>
        <b val="true"/>
        <sz val="11"/>
        <color rgb="FF2C3E50"/>
        <rFont val="Arial"/>
        <family val="0"/>
        <charset val="1"/>
      </rPr>
      <t xml:space="preserve">(Tier 2)</t>
    </r>
  </si>
  <si>
    <r>
      <rPr>
        <i val="true"/>
        <sz val="9"/>
        <color rgb="FF7F8C8D"/>
        <rFont val="DejaVu Sans"/>
        <family val="2"/>
      </rPr>
      <t xml:space="preserve">정직한 분담 </t>
    </r>
    <r>
      <rPr>
        <i val="true"/>
        <sz val="9"/>
        <color rgb="FF7F8C8D"/>
        <rFont val="Arial"/>
        <family val="0"/>
        <charset val="1"/>
      </rPr>
      <t xml:space="preserve">+ </t>
    </r>
    <r>
      <rPr>
        <i val="true"/>
        <sz val="9"/>
        <color rgb="FF7F8C8D"/>
        <rFont val="DejaVu Sans"/>
        <family val="2"/>
      </rPr>
      <t xml:space="preserve">너 흑자 약간</t>
    </r>
  </si>
  <si>
    <r>
      <rPr>
        <b val="true"/>
        <sz val="11"/>
        <color rgb="FF2C3E50"/>
        <rFont val="DejaVu Sans"/>
        <family val="2"/>
      </rPr>
      <t xml:space="preserve">🟠 지인 </t>
    </r>
    <r>
      <rPr>
        <b val="true"/>
        <sz val="11"/>
        <color rgb="FF2C3E50"/>
        <rFont val="Arial"/>
        <family val="0"/>
        <charset val="1"/>
      </rPr>
      <t xml:space="preserve">(Tier 3)</t>
    </r>
  </si>
  <si>
    <r>
      <rPr>
        <i val="true"/>
        <sz val="9"/>
        <color rgb="FF7F8C8D"/>
        <rFont val="DejaVu Sans"/>
        <family val="2"/>
      </rPr>
      <t xml:space="preserve">시장가</t>
    </r>
    <r>
      <rPr>
        <i val="true"/>
        <sz val="9"/>
        <color rgb="FF7F8C8D"/>
        <rFont val="Arial"/>
        <family val="0"/>
        <charset val="1"/>
      </rPr>
      <t xml:space="preserve">, </t>
    </r>
    <r>
      <rPr>
        <i val="true"/>
        <sz val="9"/>
        <color rgb="FF7F8C8D"/>
        <rFont val="DejaVu Sans"/>
        <family val="2"/>
      </rPr>
      <t xml:space="preserve">너 흑자 </t>
    </r>
    <r>
      <rPr>
        <i val="true"/>
        <sz val="9"/>
        <color rgb="FF7F8C8D"/>
        <rFont val="Arial"/>
        <family val="0"/>
        <charset val="1"/>
      </rPr>
      <t xml:space="preserve">60%+</t>
    </r>
  </si>
  <si>
    <r>
      <rPr>
        <b val="true"/>
        <sz val="11"/>
        <color rgb="FF2C3E50"/>
        <rFont val="DejaVu Sans"/>
        <family val="2"/>
      </rPr>
      <t xml:space="preserve">📝 여행 모드 노트</t>
    </r>
    <r>
      <rPr>
        <b val="true"/>
        <sz val="11"/>
        <color rgb="FF2C3E50"/>
        <rFont val="Arial"/>
        <family val="0"/>
        <charset val="1"/>
      </rPr>
      <t xml:space="preserve">:</t>
    </r>
  </si>
  <si>
    <r>
      <rPr>
        <i val="true"/>
        <sz val="9"/>
        <color rgb="FF7F8C8D"/>
        <rFont val="DejaVu Sans"/>
        <family val="2"/>
      </rPr>
      <t xml:space="preserve">  • 식비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입장료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숙박 모두 별도 </t>
    </r>
    <r>
      <rPr>
        <i val="true"/>
        <sz val="9"/>
        <color rgb="FF7F8C8D"/>
        <rFont val="Arial"/>
        <family val="0"/>
        <charset val="1"/>
      </rPr>
      <t xml:space="preserve">(</t>
    </r>
    <r>
      <rPr>
        <i val="true"/>
        <sz val="9"/>
        <color rgb="FF7F8C8D"/>
        <rFont val="DejaVu Sans"/>
        <family val="2"/>
      </rPr>
      <t xml:space="preserve">각자</t>
    </r>
    <r>
      <rPr>
        <i val="true"/>
        <sz val="9"/>
        <color rgb="FF7F8C8D"/>
        <rFont val="Arial"/>
        <family val="0"/>
        <charset val="1"/>
      </rPr>
      <t xml:space="preserve">)</t>
    </r>
  </si>
  <si>
    <r>
      <rPr>
        <i val="true"/>
        <sz val="9"/>
        <color rgb="FF7F8C8D"/>
        <rFont val="Arial"/>
        <family val="0"/>
        <charset val="1"/>
      </rPr>
      <t xml:space="preserve">  • 5</t>
    </r>
    <r>
      <rPr>
        <i val="true"/>
        <sz val="9"/>
        <color rgb="FF7F8C8D"/>
        <rFont val="DejaVu Sans"/>
        <family val="2"/>
      </rPr>
      <t xml:space="preserve">명</t>
    </r>
    <r>
      <rPr>
        <i val="true"/>
        <sz val="9"/>
        <color rgb="FF7F8C8D"/>
        <rFont val="Arial"/>
        <family val="0"/>
        <charset val="1"/>
      </rPr>
      <t xml:space="preserve">+ </t>
    </r>
    <r>
      <rPr>
        <i val="true"/>
        <sz val="9"/>
        <color rgb="FF7F8C8D"/>
        <rFont val="DejaVu Sans"/>
        <family val="2"/>
      </rPr>
      <t xml:space="preserve">그룹은 </t>
    </r>
    <r>
      <rPr>
        <i val="true"/>
        <sz val="9"/>
        <color rgb="FF7F8C8D"/>
        <rFont val="Arial"/>
        <family val="0"/>
        <charset val="1"/>
      </rPr>
      <t xml:space="preserve">km</t>
    </r>
    <r>
      <rPr>
        <i val="true"/>
        <sz val="9"/>
        <color rgb="FF7F8C8D"/>
        <rFont val="DejaVu Sans"/>
        <family val="2"/>
      </rPr>
      <t xml:space="preserve">당 −€</t>
    </r>
    <r>
      <rPr>
        <i val="true"/>
        <sz val="9"/>
        <color rgb="FF7F8C8D"/>
        <rFont val="Arial"/>
        <family val="0"/>
        <charset val="1"/>
      </rPr>
      <t xml:space="preserve">0.05 </t>
    </r>
    <r>
      <rPr>
        <i val="true"/>
        <sz val="9"/>
        <color rgb="FF7F8C8D"/>
        <rFont val="DejaVu Sans"/>
        <family val="2"/>
      </rPr>
      <t xml:space="preserve">할인 가능 </t>
    </r>
    <r>
      <rPr>
        <i val="true"/>
        <sz val="9"/>
        <color rgb="FF7F8C8D"/>
        <rFont val="Arial"/>
        <family val="0"/>
        <charset val="1"/>
      </rPr>
      <t xml:space="preserve">(</t>
    </r>
    <r>
      <rPr>
        <i val="true"/>
        <sz val="9"/>
        <color rgb="FF7F8C8D"/>
        <rFont val="DejaVu Sans"/>
        <family val="2"/>
      </rPr>
      <t xml:space="preserve">협의</t>
    </r>
    <r>
      <rPr>
        <i val="true"/>
        <sz val="9"/>
        <color rgb="FF7F8C8D"/>
        <rFont val="Arial"/>
        <family val="0"/>
        <charset val="1"/>
      </rPr>
      <t xml:space="preserve">)</t>
    </r>
  </si>
  <si>
    <r>
      <rPr>
        <i val="true"/>
        <sz val="9"/>
        <color rgb="FF7F8C8D"/>
        <rFont val="DejaVu Sans"/>
        <family val="2"/>
      </rPr>
      <t xml:space="preserve">  • 합류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하차 시점이 다르면 구간별 가중 평균 적용</t>
    </r>
  </si>
  <si>
    <r>
      <rPr>
        <i val="true"/>
        <sz val="9"/>
        <color rgb="FF7F8C8D"/>
        <rFont val="DejaVu Sans"/>
        <family val="2"/>
      </rPr>
      <t xml:space="preserve">  • 가격은 </t>
    </r>
    <r>
      <rPr>
        <i val="true"/>
        <sz val="9"/>
        <color rgb="FF7F8C8D"/>
        <rFont val="Arial"/>
        <family val="0"/>
        <charset val="1"/>
      </rPr>
      <t xml:space="preserve">1:1 </t>
    </r>
    <r>
      <rPr>
        <i val="true"/>
        <sz val="9"/>
        <color rgb="FF7F8C8D"/>
        <rFont val="DejaVu Sans"/>
        <family val="2"/>
      </rPr>
      <t xml:space="preserve">카톡으로만 공유</t>
    </r>
    <r>
      <rPr>
        <i val="true"/>
        <sz val="9"/>
        <color rgb="FF7F8C8D"/>
        <rFont val="Arial"/>
        <family val="0"/>
        <charset val="1"/>
      </rPr>
      <t xml:space="preserve">, </t>
    </r>
    <r>
      <rPr>
        <i val="true"/>
        <sz val="9"/>
        <color rgb="FF7F8C8D"/>
        <rFont val="DejaVu Sans"/>
        <family val="2"/>
      </rPr>
      <t xml:space="preserve">외부 광고 </t>
    </r>
    <r>
      <rPr>
        <i val="true"/>
        <sz val="9"/>
        <color rgb="FF7F8C8D"/>
        <rFont val="Arial"/>
        <family val="0"/>
        <charset val="1"/>
      </rPr>
      <t xml:space="preserve">X</t>
    </r>
  </si>
  <si>
    <r>
      <rPr>
        <b val="true"/>
        <sz val="11"/>
        <color rgb="FF2C3E50"/>
        <rFont val="Arial"/>
        <family val="0"/>
        <charset val="1"/>
      </rPr>
      <t xml:space="preserve">📝 IKEA Tier A </t>
    </r>
    <r>
      <rPr>
        <b val="true"/>
        <sz val="11"/>
        <color rgb="FF2C3E50"/>
        <rFont val="DejaVu Sans"/>
        <family val="2"/>
      </rPr>
      <t xml:space="preserve">노트 </t>
    </r>
    <r>
      <rPr>
        <b val="true"/>
        <sz val="11"/>
        <color rgb="FF2C3E50"/>
        <rFont val="Arial"/>
        <family val="0"/>
        <charset val="1"/>
      </rPr>
      <t xml:space="preserve">(</t>
    </r>
    <r>
      <rPr>
        <b val="true"/>
        <sz val="11"/>
        <color rgb="FF2C3E50"/>
        <rFont val="DejaVu Sans"/>
        <family val="2"/>
      </rPr>
      <t xml:space="preserve">운송만</t>
    </r>
    <r>
      <rPr>
        <b val="true"/>
        <sz val="11"/>
        <color rgb="FF2C3E50"/>
        <rFont val="Arial"/>
        <family val="0"/>
        <charset val="1"/>
      </rPr>
      <t xml:space="preserve">, 1.5h):</t>
    </r>
  </si>
  <si>
    <r>
      <rPr>
        <i val="true"/>
        <sz val="9"/>
        <color rgb="FF7F8C8D"/>
        <rFont val="DejaVu Sans"/>
        <family val="2"/>
      </rPr>
      <t xml:space="preserve">  • 거리 </t>
    </r>
    <r>
      <rPr>
        <i val="true"/>
        <sz val="9"/>
        <color rgb="FF7F8C8D"/>
        <rFont val="Arial"/>
        <family val="0"/>
        <charset val="1"/>
      </rPr>
      <t xml:space="preserve">= IKEA Ballymun → </t>
    </r>
    <r>
      <rPr>
        <i val="true"/>
        <sz val="9"/>
        <color rgb="FF7F8C8D"/>
        <rFont val="DejaVu Sans"/>
        <family val="2"/>
      </rPr>
      <t xml:space="preserve">손님 집까지의 </t>
    </r>
    <r>
      <rPr>
        <i val="true"/>
        <sz val="9"/>
        <color rgb="FF7F8C8D"/>
        <rFont val="Arial"/>
        <family val="0"/>
        <charset val="1"/>
      </rPr>
      <t xml:space="preserve">km</t>
    </r>
  </si>
  <si>
    <r>
      <rPr>
        <i val="true"/>
        <sz val="9"/>
        <color rgb="FF7F8C8D"/>
        <rFont val="Arial"/>
        <family val="0"/>
        <charset val="1"/>
      </rPr>
      <t xml:space="preserve">  • Zone 1 (0–10km): D1–D8, D9, D15 </t>
    </r>
    <r>
      <rPr>
        <i val="true"/>
        <sz val="9"/>
        <color rgb="FF7F8C8D"/>
        <rFont val="DejaVu Sans"/>
        <family val="2"/>
      </rPr>
      <t xml:space="preserve">대부분</t>
    </r>
  </si>
  <si>
    <t xml:space="preserve">  • Zone 2 (10–20km): D24, Tallaght, Lucan, Howth</t>
  </si>
  <si>
    <t xml:space="preserve">  • Zone 3 (20–30km): Maynooth, Bray, Greystones</t>
  </si>
  <si>
    <t xml:space="preserve">  • Zone 4 (30–50km): Drogheda, Naas, Wicklow Town</t>
  </si>
  <si>
    <r>
      <rPr>
        <i val="true"/>
        <sz val="9"/>
        <color rgb="FF7F8C8D"/>
        <rFont val="Arial"/>
        <family val="0"/>
        <charset val="1"/>
      </rPr>
      <t xml:space="preserve">  • Zone 5 (50km+): </t>
    </r>
    <r>
      <rPr>
        <i val="true"/>
        <sz val="9"/>
        <color rgb="FF7F8C8D"/>
        <rFont val="DejaVu Sans"/>
        <family val="2"/>
      </rPr>
      <t xml:space="preserve">별도 견적 </t>
    </r>
    <r>
      <rPr>
        <i val="true"/>
        <sz val="9"/>
        <color rgb="FF7F8C8D"/>
        <rFont val="Arial"/>
        <family val="0"/>
        <charset val="1"/>
      </rPr>
      <t xml:space="preserve">= €50 + (</t>
    </r>
    <r>
      <rPr>
        <i val="true"/>
        <sz val="9"/>
        <color rgb="FF7F8C8D"/>
        <rFont val="DejaVu Sans"/>
        <family val="2"/>
      </rPr>
      <t xml:space="preserve">거리−</t>
    </r>
    <r>
      <rPr>
        <i val="true"/>
        <sz val="9"/>
        <color rgb="FF7F8C8D"/>
        <rFont val="Arial"/>
        <family val="0"/>
        <charset val="1"/>
      </rPr>
      <t xml:space="preserve">10)×€2</t>
    </r>
  </si>
  <si>
    <r>
      <rPr>
        <b val="true"/>
        <sz val="11"/>
        <color rgb="FF2C3E50"/>
        <rFont val="DejaVu Sans"/>
        <family val="2"/>
      </rPr>
      <t xml:space="preserve">📦 차량 적재량 </t>
    </r>
    <r>
      <rPr>
        <b val="true"/>
        <sz val="11"/>
        <color rgb="FF2C3E50"/>
        <rFont val="Arial"/>
        <family val="0"/>
        <charset val="1"/>
      </rPr>
      <t xml:space="preserve">(Citroen Grand C4 Picasso 2012):</t>
    </r>
  </si>
  <si>
    <r>
      <rPr>
        <i val="true"/>
        <sz val="9"/>
        <color rgb="FF7F8C8D"/>
        <rFont val="Arial"/>
        <family val="0"/>
        <charset val="1"/>
      </rPr>
      <t xml:space="preserve">  • 5</t>
    </r>
    <r>
      <rPr>
        <i val="true"/>
        <sz val="9"/>
        <color rgb="FF7F8C8D"/>
        <rFont val="DejaVu Sans"/>
        <family val="2"/>
      </rPr>
      <t xml:space="preserve">인승 모드 부트 </t>
    </r>
    <r>
      <rPr>
        <i val="true"/>
        <sz val="9"/>
        <color rgb="FF7F8C8D"/>
        <rFont val="Arial"/>
        <family val="0"/>
        <charset val="1"/>
      </rPr>
      <t xml:space="preserve">645L = IKEA 1–2</t>
    </r>
    <r>
      <rPr>
        <i val="true"/>
        <sz val="9"/>
        <color rgb="FF7F8C8D"/>
        <rFont val="DejaVu Sans"/>
        <family val="2"/>
      </rPr>
      <t xml:space="preserve">회 일반 쇼핑 </t>
    </r>
    <r>
      <rPr>
        <i val="true"/>
        <sz val="9"/>
        <color rgb="FF7F8C8D"/>
        <rFont val="Arial"/>
        <family val="0"/>
        <charset val="1"/>
      </rPr>
      <t xml:space="preserve">OK</t>
    </r>
  </si>
  <si>
    <r>
      <rPr>
        <i val="true"/>
        <sz val="9"/>
        <color rgb="FF7F8C8D"/>
        <rFont val="Arial"/>
        <family val="0"/>
        <charset val="1"/>
      </rPr>
      <t xml:space="preserve">  • 3</t>
    </r>
    <r>
      <rPr>
        <i val="true"/>
        <sz val="9"/>
        <color rgb="FF7F8C8D"/>
        <rFont val="DejaVu Sans"/>
        <family val="2"/>
      </rPr>
      <t xml:space="preserve">열 좌석 접으면 </t>
    </r>
    <r>
      <rPr>
        <i val="true"/>
        <sz val="9"/>
        <color rgb="FF7F8C8D"/>
        <rFont val="Arial"/>
        <family val="0"/>
        <charset val="1"/>
      </rPr>
      <t xml:space="preserve">1,800L = </t>
    </r>
    <r>
      <rPr>
        <i val="true"/>
        <sz val="9"/>
        <color rgb="FF7F8C8D"/>
        <rFont val="DejaVu Sans"/>
        <family val="2"/>
      </rPr>
      <t xml:space="preserve">침대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옷장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책장 </t>
    </r>
    <r>
      <rPr>
        <i val="true"/>
        <sz val="9"/>
        <color rgb="FF7F8C8D"/>
        <rFont val="Arial"/>
        <family val="0"/>
        <charset val="1"/>
      </rPr>
      <t xml:space="preserve">1</t>
    </r>
    <r>
      <rPr>
        <i val="true"/>
        <sz val="9"/>
        <color rgb="FF7F8C8D"/>
        <rFont val="DejaVu Sans"/>
        <family val="2"/>
      </rPr>
      <t xml:space="preserve">회 운반</t>
    </r>
  </si>
  <si>
    <r>
      <rPr>
        <i val="true"/>
        <sz val="9"/>
        <color rgb="FF7F8C8D"/>
        <rFont val="DejaVu Sans"/>
        <family val="2"/>
      </rPr>
      <t xml:space="preserve">  • 차량 길이 </t>
    </r>
    <r>
      <rPr>
        <i val="true"/>
        <sz val="9"/>
        <color rgb="FF7F8C8D"/>
        <rFont val="Arial"/>
        <family val="0"/>
        <charset val="1"/>
      </rPr>
      <t xml:space="preserve">4.6m · </t>
    </r>
    <r>
      <rPr>
        <i val="true"/>
        <sz val="9"/>
        <color rgb="FF7F8C8D"/>
        <rFont val="DejaVu Sans"/>
        <family val="2"/>
      </rPr>
      <t xml:space="preserve">폭 </t>
    </r>
    <r>
      <rPr>
        <i val="true"/>
        <sz val="9"/>
        <color rgb="FF7F8C8D"/>
        <rFont val="Arial"/>
        <family val="0"/>
        <charset val="1"/>
      </rPr>
      <t xml:space="preserve">1.8m → </t>
    </r>
    <r>
      <rPr>
        <i val="true"/>
        <sz val="9"/>
        <color rgb="FF7F8C8D"/>
        <rFont val="DejaVu Sans"/>
        <family val="2"/>
      </rPr>
      <t xml:space="preserve">박스 길이 </t>
    </r>
    <r>
      <rPr>
        <i val="true"/>
        <sz val="9"/>
        <color rgb="FF7F8C8D"/>
        <rFont val="Arial"/>
        <family val="0"/>
        <charset val="1"/>
      </rPr>
      <t xml:space="preserve">~2.1m</t>
    </r>
    <r>
      <rPr>
        <i val="true"/>
        <sz val="9"/>
        <color rgb="FF7F8C8D"/>
        <rFont val="DejaVu Sans"/>
        <family val="2"/>
      </rPr>
      <t xml:space="preserve">까지 가능</t>
    </r>
  </si>
  <si>
    <r>
      <rPr>
        <i val="true"/>
        <sz val="9"/>
        <color rgb="FF7F8C8D"/>
        <rFont val="DejaVu Sans"/>
        <family val="2"/>
      </rPr>
      <t xml:space="preserve">  • 적재 초과 시 </t>
    </r>
    <r>
      <rPr>
        <i val="true"/>
        <sz val="9"/>
        <color rgb="FF7F8C8D"/>
        <rFont val="Arial"/>
        <family val="0"/>
        <charset val="1"/>
      </rPr>
      <t xml:space="preserve">2</t>
    </r>
    <r>
      <rPr>
        <i val="true"/>
        <sz val="9"/>
        <color rgb="FF7F8C8D"/>
        <rFont val="DejaVu Sans"/>
        <family val="2"/>
      </rPr>
      <t xml:space="preserve">회 운반 </t>
    </r>
    <r>
      <rPr>
        <i val="true"/>
        <sz val="9"/>
        <color rgb="FF7F8C8D"/>
        <rFont val="Arial"/>
        <family val="0"/>
        <charset val="1"/>
      </rPr>
      <t xml:space="preserve">(×2 </t>
    </r>
    <r>
      <rPr>
        <i val="true"/>
        <sz val="9"/>
        <color rgb="FF7F8C8D"/>
        <rFont val="DejaVu Sans"/>
        <family val="2"/>
      </rPr>
      <t xml:space="preserve">가격</t>
    </r>
    <r>
      <rPr>
        <i val="true"/>
        <sz val="9"/>
        <color rgb="FF7F8C8D"/>
        <rFont val="Arial"/>
        <family val="0"/>
        <charset val="1"/>
      </rPr>
      <t xml:space="preserve">) </t>
    </r>
    <r>
      <rPr>
        <i val="true"/>
        <sz val="9"/>
        <color rgb="FF7F8C8D"/>
        <rFont val="DejaVu Sans"/>
        <family val="2"/>
      </rPr>
      <t xml:space="preserve">또는 </t>
    </r>
    <r>
      <rPr>
        <i val="true"/>
        <sz val="9"/>
        <color rgb="FF7F8C8D"/>
        <rFont val="Arial"/>
        <family val="0"/>
        <charset val="1"/>
      </rPr>
      <t xml:space="preserve">Tier C </t>
    </r>
    <r>
      <rPr>
        <i val="true"/>
        <sz val="9"/>
        <color rgb="FF7F8C8D"/>
        <rFont val="DejaVu Sans"/>
        <family val="2"/>
      </rPr>
      <t xml:space="preserve">협의</t>
    </r>
  </si>
  <si>
    <r>
      <rPr>
        <b val="true"/>
        <sz val="11"/>
        <color rgb="FF2C3E50"/>
        <rFont val="DejaVu Sans"/>
        <family val="2"/>
      </rPr>
      <t xml:space="preserve">📝 차별화 </t>
    </r>
    <r>
      <rPr>
        <b val="true"/>
        <sz val="11"/>
        <color rgb="FF2C3E50"/>
        <rFont val="Arial"/>
        <family val="0"/>
        <charset val="1"/>
      </rPr>
      <t xml:space="preserve">4</t>
    </r>
    <r>
      <rPr>
        <b val="true"/>
        <sz val="11"/>
        <color rgb="FF2C3E50"/>
        <rFont val="DejaVu Sans"/>
        <family val="2"/>
      </rPr>
      <t xml:space="preserve">가지</t>
    </r>
    <r>
      <rPr>
        <b val="true"/>
        <sz val="11"/>
        <color rgb="FF2C3E50"/>
        <rFont val="Arial"/>
        <family val="0"/>
        <charset val="1"/>
      </rPr>
      <t xml:space="preserve">:</t>
    </r>
  </si>
  <si>
    <r>
      <rPr>
        <i val="true"/>
        <sz val="9"/>
        <color rgb="FF7F8C8D"/>
        <rFont val="Arial"/>
        <family val="0"/>
        <charset val="1"/>
      </rPr>
      <t xml:space="preserve">  • 7</t>
    </r>
    <r>
      <rPr>
        <i val="true"/>
        <sz val="9"/>
        <color rgb="FF7F8C8D"/>
        <rFont val="DejaVu Sans"/>
        <family val="2"/>
      </rPr>
      <t xml:space="preserve">인승 </t>
    </r>
    <r>
      <rPr>
        <i val="true"/>
        <sz val="9"/>
        <color rgb="FF7F8C8D"/>
        <rFont val="Arial"/>
        <family val="0"/>
        <charset val="1"/>
      </rPr>
      <t xml:space="preserve">MPV (1,800L </t>
    </r>
    <r>
      <rPr>
        <i val="true"/>
        <sz val="9"/>
        <color rgb="FF7F8C8D"/>
        <rFont val="DejaVu Sans"/>
        <family val="2"/>
      </rPr>
      <t xml:space="preserve">적재</t>
    </r>
    <r>
      <rPr>
        <i val="true"/>
        <sz val="9"/>
        <color rgb="FF7F8C8D"/>
        <rFont val="Arial"/>
        <family val="0"/>
        <charset val="1"/>
      </rPr>
      <t xml:space="preserve">) = Red Door CR-V </t>
    </r>
    <r>
      <rPr>
        <i val="true"/>
        <sz val="9"/>
        <color rgb="FF7F8C8D"/>
        <rFont val="DejaVu Sans"/>
        <family val="2"/>
      </rPr>
      <t xml:space="preserve">대비 </t>
    </r>
    <r>
      <rPr>
        <i val="true"/>
        <sz val="9"/>
        <color rgb="FF7F8C8D"/>
        <rFont val="Arial"/>
        <family val="0"/>
        <charset val="1"/>
      </rPr>
      <t xml:space="preserve">+1</t>
    </r>
    <r>
      <rPr>
        <i val="true"/>
        <sz val="9"/>
        <color rgb="FF7F8C8D"/>
        <rFont val="DejaVu Sans"/>
        <family val="2"/>
      </rPr>
      <t xml:space="preserve">자리 </t>
    </r>
    <r>
      <rPr>
        <i val="true"/>
        <sz val="9"/>
        <color rgb="FF7F8C8D"/>
        <rFont val="Arial"/>
        <family val="0"/>
        <charset val="1"/>
      </rPr>
      <t xml:space="preserve">+ </t>
    </r>
    <r>
      <rPr>
        <i val="true"/>
        <sz val="9"/>
        <color rgb="FF7F8C8D"/>
        <rFont val="DejaVu Sans"/>
        <family val="2"/>
      </rPr>
      <t xml:space="preserve">짐 </t>
    </r>
    <r>
      <rPr>
        <i val="true"/>
        <sz val="9"/>
        <color rgb="FF7F8C8D"/>
        <rFont val="Arial"/>
        <family val="0"/>
        <charset val="1"/>
      </rPr>
      <t xml:space="preserve">1.5–2</t>
    </r>
    <r>
      <rPr>
        <i val="true"/>
        <sz val="9"/>
        <color rgb="FF7F8C8D"/>
        <rFont val="DejaVu Sans"/>
        <family val="2"/>
      </rPr>
      <t xml:space="preserve">배</t>
    </r>
  </si>
  <si>
    <r>
      <rPr>
        <i val="true"/>
        <sz val="9"/>
        <color rgb="FF7F8C8D"/>
        <rFont val="DejaVu Sans"/>
        <family val="2"/>
      </rPr>
      <t xml:space="preserve">  • 외곽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지방 픽업 가능 </t>
    </r>
    <r>
      <rPr>
        <i val="true"/>
        <sz val="9"/>
        <color rgb="FF7F8C8D"/>
        <rFont val="Arial"/>
        <family val="0"/>
        <charset val="1"/>
      </rPr>
      <t xml:space="preserve">= Red Door </t>
    </r>
    <r>
      <rPr>
        <i val="true"/>
        <sz val="9"/>
        <color rgb="FF7F8C8D"/>
        <rFont val="DejaVu Sans"/>
        <family val="2"/>
      </rPr>
      <t xml:space="preserve">미진출 영역</t>
    </r>
  </si>
  <si>
    <r>
      <rPr>
        <i val="true"/>
        <sz val="9"/>
        <color rgb="FF7F8C8D"/>
        <rFont val="DejaVu Sans"/>
        <family val="2"/>
      </rPr>
      <t xml:space="preserve">  • 첫날 정착 도움 </t>
    </r>
    <r>
      <rPr>
        <i val="true"/>
        <sz val="9"/>
        <color rgb="FF7F8C8D"/>
        <rFont val="Arial"/>
        <family val="0"/>
        <charset val="1"/>
      </rPr>
      <t xml:space="preserve">(</t>
    </r>
    <r>
      <rPr>
        <i val="true"/>
        <sz val="9"/>
        <color rgb="FF7F8C8D"/>
        <rFont val="DejaVu Sans"/>
        <family val="2"/>
      </rPr>
      <t xml:space="preserve">한인마트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심카드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환전 카톡 안내</t>
    </r>
    <r>
      <rPr>
        <i val="true"/>
        <sz val="9"/>
        <color rgb="FF7F8C8D"/>
        <rFont val="Arial"/>
        <family val="0"/>
        <charset val="1"/>
      </rPr>
      <t xml:space="preserve">)</t>
    </r>
  </si>
  <si>
    <r>
      <rPr>
        <i val="true"/>
        <sz val="9"/>
        <color rgb="FF7F8C8D"/>
        <rFont val="Arial"/>
        <family val="0"/>
        <charset val="1"/>
      </rPr>
      <t xml:space="preserve">  • 4</t>
    </r>
    <r>
      <rPr>
        <i val="true"/>
        <sz val="9"/>
        <color rgb="FF7F8C8D"/>
        <rFont val="DejaVu Sans"/>
        <family val="2"/>
      </rPr>
      <t xml:space="preserve">년차 더블린 한인 </t>
    </r>
    <r>
      <rPr>
        <i val="true"/>
        <sz val="9"/>
        <color rgb="FF7F8C8D"/>
        <rFont val="Arial"/>
        <family val="0"/>
        <charset val="1"/>
      </rPr>
      <t xml:space="preserve">+ </t>
    </r>
    <r>
      <rPr>
        <i val="true"/>
        <sz val="9"/>
        <color rgb="FF7F8C8D"/>
        <rFont val="DejaVu Sans"/>
        <family val="2"/>
      </rPr>
      <t xml:space="preserve">무료 워킹투어 운영자 신뢰</t>
    </r>
  </si>
  <si>
    <r>
      <rPr>
        <b val="true"/>
        <sz val="18"/>
        <color rgb="FF2C3E50"/>
        <rFont val="DejaVu Sans"/>
        <family val="2"/>
      </rPr>
      <t xml:space="preserve">🌿 여행 기록부 — 친구</t>
    </r>
    <r>
      <rPr>
        <b val="true"/>
        <sz val="18"/>
        <color rgb="FF2C3E50"/>
        <rFont val="Arial"/>
        <family val="0"/>
        <charset val="1"/>
      </rPr>
      <t xml:space="preserve">·</t>
    </r>
    <r>
      <rPr>
        <b val="true"/>
        <sz val="18"/>
        <color rgb="FF2C3E50"/>
        <rFont val="DejaVu Sans"/>
        <family val="2"/>
      </rPr>
      <t xml:space="preserve">지인 </t>
    </r>
    <r>
      <rPr>
        <b val="true"/>
        <sz val="18"/>
        <color rgb="FF2C3E50"/>
        <rFont val="Arial"/>
        <family val="0"/>
        <charset val="1"/>
      </rPr>
      <t xml:space="preserve">1</t>
    </r>
    <r>
      <rPr>
        <b val="true"/>
        <sz val="18"/>
        <color rgb="FF2C3E50"/>
        <rFont val="DejaVu Sans"/>
        <family val="2"/>
      </rPr>
      <t xml:space="preserve">일 여행</t>
    </r>
  </si>
  <si>
    <t xml:space="preserve">👇 노란 셀에 입력 → 회색 셀은 자동 계산</t>
  </si>
  <si>
    <t xml:space="preserve">일자</t>
  </si>
  <si>
    <t xml:space="preserve">목적지</t>
  </si>
  <si>
    <t xml:space="preserve">km</t>
  </si>
  <si>
    <r>
      <rPr>
        <b val="true"/>
        <sz val="11"/>
        <color rgb="FFFFFFFF"/>
        <rFont val="DejaVu Sans"/>
        <family val="2"/>
      </rPr>
      <t xml:space="preserve">시간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</si>
  <si>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DejaVu Sans"/>
        <family val="2"/>
      </rPr>
      <t xml:space="preserve">연료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</si>
  <si>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DejaVu Sans"/>
        <family val="2"/>
      </rPr>
      <t xml:space="preserve">톨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</si>
  <si>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DejaVu Sans"/>
        <family val="2"/>
      </rPr>
      <t xml:space="preserve">주차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</si>
  <si>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DejaVu Sans"/>
        <family val="2"/>
      </rPr>
      <t xml:space="preserve">인원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친구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</si>
  <si>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티어 </t>
    </r>
    <r>
      <rPr>
        <b val="true"/>
        <sz val="11"/>
        <color rgb="FFFFFFFF"/>
        <rFont val="Arial"/>
        <family val="0"/>
        <charset val="1"/>
      </rPr>
      <t xml:space="preserve">(1/2/3)</t>
    </r>
  </si>
  <si>
    <r>
      <rPr>
        <b val="true"/>
        <sz val="11"/>
        <color rgb="FFFFFFFF"/>
        <rFont val="DejaVu Sans"/>
        <family val="2"/>
      </rPr>
      <t xml:space="preserve">받은 돈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</si>
  <si>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DejaVu Sans"/>
        <family val="2"/>
      </rPr>
      <t xml:space="preserve">진짜 비용</t>
    </r>
    <r>
      <rPr>
        <b val="true"/>
        <sz val="11"/>
        <color rgb="FFFFFFFF"/>
        <rFont val="Arial"/>
        <family val="0"/>
        <charset val="1"/>
      </rPr>
      <t xml:space="preserve">(€)</t>
    </r>
  </si>
  <si>
    <r>
      <rPr>
        <b val="true"/>
        <sz val="11"/>
        <color rgb="FFFFFFFF"/>
        <rFont val="DejaVu Sans"/>
        <family val="2"/>
      </rPr>
      <t xml:space="preserve">흑자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적자 </t>
    </r>
    <r>
      <rPr>
        <b val="true"/>
        <sz val="11"/>
        <color rgb="FFFFFFFF"/>
        <rFont val="Arial"/>
        <family val="0"/>
        <charset val="1"/>
      </rPr>
      <t xml:space="preserve">(€)</t>
    </r>
  </si>
  <si>
    <t xml:space="preserve">2026-04-26</t>
  </si>
  <si>
    <t xml:space="preserve">Wicklow</t>
  </si>
  <si>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DejaVu Sans"/>
        <family val="2"/>
      </rPr>
      <t xml:space="preserve">명 풀</t>
    </r>
    <r>
      <rPr>
        <sz val="11"/>
        <color rgb="FF0000FF"/>
        <rFont val="Arial"/>
        <family val="0"/>
        <charset val="1"/>
      </rPr>
      <t xml:space="preserve">+1</t>
    </r>
    <r>
      <rPr>
        <sz val="11"/>
        <color rgb="FF0000FF"/>
        <rFont val="DejaVu Sans"/>
        <family val="2"/>
      </rPr>
      <t xml:space="preserve">명 합류 </t>
    </r>
    <r>
      <rPr>
        <sz val="11"/>
        <color rgb="FF0000FF"/>
        <rFont val="Arial"/>
        <family val="0"/>
        <charset val="1"/>
      </rPr>
      <t xml:space="preserve">(15·15·15·5)</t>
    </r>
  </si>
  <si>
    <r>
      <rPr>
        <b val="true"/>
        <sz val="18"/>
        <color rgb="FF2C3E50"/>
        <rFont val="DejaVu Sans"/>
        <family val="2"/>
      </rPr>
      <t xml:space="preserve">🚗 이동 기록부 — 픽업</t>
    </r>
    <r>
      <rPr>
        <b val="true"/>
        <sz val="18"/>
        <color rgb="FF2C3E50"/>
        <rFont val="Arial"/>
        <family val="0"/>
        <charset val="1"/>
      </rPr>
      <t xml:space="preserve">·</t>
    </r>
    <r>
      <rPr>
        <b val="true"/>
        <sz val="18"/>
        <color rgb="FF2C3E50"/>
        <rFont val="DejaVu Sans"/>
        <family val="2"/>
      </rPr>
      <t xml:space="preserve">운송</t>
    </r>
    <r>
      <rPr>
        <b val="true"/>
        <sz val="18"/>
        <color rgb="FF2C3E50"/>
        <rFont val="Arial"/>
        <family val="0"/>
        <charset val="1"/>
      </rPr>
      <t xml:space="preserve">·</t>
    </r>
    <r>
      <rPr>
        <b val="true"/>
        <sz val="18"/>
        <color rgb="FF2C3E50"/>
        <rFont val="DejaVu Sans"/>
        <family val="2"/>
      </rPr>
      <t xml:space="preserve">이사</t>
    </r>
  </si>
  <si>
    <t xml:space="preserve">서비스 종류</t>
  </si>
  <si>
    <t xml:space="preserve">구간</t>
  </si>
  <si>
    <r>
      <rPr>
        <b val="true"/>
        <sz val="11"/>
        <color rgb="FFFFFFFF"/>
        <rFont val="Arial"/>
        <family val="0"/>
        <charset val="1"/>
      </rPr>
      <t xml:space="preserve">km (</t>
    </r>
    <r>
      <rPr>
        <b val="true"/>
        <sz val="11"/>
        <color rgb="FFFFFFFF"/>
        <rFont val="DejaVu Sans"/>
        <family val="2"/>
      </rPr>
      <t xml:space="preserve">왕복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</si>
  <si>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시간당 수익</t>
    </r>
    <r>
      <rPr>
        <b val="true"/>
        <sz val="11"/>
        <color rgb="FFFFFFFF"/>
        <rFont val="Arial"/>
        <family val="0"/>
        <charset val="1"/>
      </rPr>
      <t xml:space="preserve">(€/h)</t>
    </r>
  </si>
  <si>
    <r>
      <rPr>
        <b val="true"/>
        <sz val="11"/>
        <color rgb="FFFFFFFF"/>
        <rFont val="DejaVu Sans"/>
        <family val="2"/>
      </rPr>
      <t xml:space="preserve">흑자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적자</t>
    </r>
    <r>
      <rPr>
        <b val="true"/>
        <sz val="11"/>
        <color rgb="FFFFFFFF"/>
        <rFont val="Arial"/>
        <family val="0"/>
        <charset val="1"/>
      </rPr>
      <t xml:space="preserve">(€)</t>
    </r>
  </si>
  <si>
    <t xml:space="preserve">🔧 정비 영수증 누적 트래커</t>
  </si>
  <si>
    <r>
      <rPr>
        <i val="true"/>
        <sz val="9"/>
        <color rgb="FF7F8C8D"/>
        <rFont val="DejaVu Sans"/>
        <family val="2"/>
      </rPr>
      <t xml:space="preserve">연 정비 충당 €</t>
    </r>
    <r>
      <rPr>
        <i val="true"/>
        <sz val="9"/>
        <color rgb="FF7F8C8D"/>
        <rFont val="Arial"/>
        <family val="0"/>
        <charset val="1"/>
      </rPr>
      <t xml:space="preserve">2,500 + </t>
    </r>
    <r>
      <rPr>
        <i val="true"/>
        <sz val="9"/>
        <color rgb="FF7F8C8D"/>
        <rFont val="DejaVu Sans"/>
        <family val="2"/>
      </rPr>
      <t xml:space="preserve">큰수리 예비 €</t>
    </r>
    <r>
      <rPr>
        <i val="true"/>
        <sz val="9"/>
        <color rgb="FF7F8C8D"/>
        <rFont val="Arial"/>
        <family val="0"/>
        <charset val="1"/>
      </rPr>
      <t xml:space="preserve">2,000 = </t>
    </r>
    <r>
      <rPr>
        <i val="true"/>
        <sz val="9"/>
        <color rgb="FF7F8C8D"/>
        <rFont val="DejaVu Sans"/>
        <family val="2"/>
      </rPr>
      <t xml:space="preserve">총 €</t>
    </r>
    <r>
      <rPr>
        <i val="true"/>
        <sz val="9"/>
        <color rgb="FF7F8C8D"/>
        <rFont val="Arial"/>
        <family val="0"/>
        <charset val="1"/>
      </rPr>
      <t xml:space="preserve">4,500 </t>
    </r>
    <r>
      <rPr>
        <i val="true"/>
        <sz val="9"/>
        <color rgb="FF7F8C8D"/>
        <rFont val="DejaVu Sans"/>
        <family val="2"/>
      </rPr>
      <t xml:space="preserve">잔액 추적</t>
    </r>
  </si>
  <si>
    <r>
      <rPr>
        <i val="true"/>
        <sz val="9"/>
        <color rgb="FF7F8C8D"/>
        <rFont val="DejaVu Sans"/>
        <family val="2"/>
      </rPr>
      <t xml:space="preserve">카테고리</t>
    </r>
    <r>
      <rPr>
        <i val="true"/>
        <sz val="9"/>
        <color rgb="FF7F8C8D"/>
        <rFont val="Arial"/>
        <family val="0"/>
        <charset val="1"/>
      </rPr>
      <t xml:space="preserve">: "</t>
    </r>
    <r>
      <rPr>
        <i val="true"/>
        <sz val="9"/>
        <color rgb="FF7F8C8D"/>
        <rFont val="DejaVu Sans"/>
        <family val="2"/>
      </rPr>
      <t xml:space="preserve">정기</t>
    </r>
    <r>
      <rPr>
        <i val="true"/>
        <sz val="9"/>
        <color rgb="FF7F8C8D"/>
        <rFont val="Arial"/>
        <family val="0"/>
        <charset val="1"/>
      </rPr>
      <t xml:space="preserve">" (</t>
    </r>
    <r>
      <rPr>
        <i val="true"/>
        <sz val="9"/>
        <color rgb="FF7F8C8D"/>
        <rFont val="DejaVu Sans"/>
        <family val="2"/>
      </rPr>
      <t xml:space="preserve">오일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타이어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소모품</t>
    </r>
    <r>
      <rPr>
        <i val="true"/>
        <sz val="9"/>
        <color rgb="FF7F8C8D"/>
        <rFont val="Arial"/>
        <family val="0"/>
        <charset val="1"/>
      </rPr>
      <t xml:space="preserve">) | "</t>
    </r>
    <r>
      <rPr>
        <i val="true"/>
        <sz val="9"/>
        <color rgb="FF7F8C8D"/>
        <rFont val="DejaVu Sans"/>
        <family val="2"/>
      </rPr>
      <t xml:space="preserve">큰수리</t>
    </r>
    <r>
      <rPr>
        <i val="true"/>
        <sz val="9"/>
        <color rgb="FF7F8C8D"/>
        <rFont val="Arial"/>
        <family val="0"/>
        <charset val="1"/>
      </rPr>
      <t xml:space="preserve">" (</t>
    </r>
    <r>
      <rPr>
        <i val="true"/>
        <sz val="9"/>
        <color rgb="FF7F8C8D"/>
        <rFont val="DejaVu Sans"/>
        <family val="2"/>
      </rPr>
      <t xml:space="preserve">터보</t>
    </r>
    <r>
      <rPr>
        <i val="true"/>
        <sz val="9"/>
        <color rgb="FF7F8C8D"/>
        <rFont val="Arial"/>
        <family val="0"/>
        <charset val="1"/>
      </rPr>
      <t xml:space="preserve">·DPF·</t>
    </r>
    <r>
      <rPr>
        <i val="true"/>
        <sz val="9"/>
        <color rgb="FF7F8C8D"/>
        <rFont val="DejaVu Sans"/>
        <family val="2"/>
      </rPr>
      <t xml:space="preserve">클러치 등</t>
    </r>
    <r>
      <rPr>
        <i val="true"/>
        <sz val="9"/>
        <color rgb="FF7F8C8D"/>
        <rFont val="Arial"/>
        <family val="0"/>
        <charset val="1"/>
      </rPr>
      <t xml:space="preserve">)</t>
    </r>
  </si>
  <si>
    <t xml:space="preserve">값</t>
  </si>
  <si>
    <r>
      <rPr>
        <b val="true"/>
        <sz val="11"/>
        <color rgb="FF2C3E50"/>
        <rFont val="DejaVu Sans"/>
        <family val="2"/>
      </rPr>
      <t xml:space="preserve">연 정비 충당 예산 </t>
    </r>
    <r>
      <rPr>
        <b val="true"/>
        <sz val="11"/>
        <color rgb="FF2C3E50"/>
        <rFont val="Arial"/>
        <family val="0"/>
        <charset val="1"/>
      </rPr>
      <t xml:space="preserve">(€)</t>
    </r>
  </si>
  <si>
    <r>
      <rPr>
        <b val="true"/>
        <sz val="11"/>
        <color rgb="FF2C3E50"/>
        <rFont val="DejaVu Sans"/>
        <family val="2"/>
      </rPr>
      <t xml:space="preserve">연 큰수리 예비 예산 </t>
    </r>
    <r>
      <rPr>
        <b val="true"/>
        <sz val="11"/>
        <color rgb="FF2C3E50"/>
        <rFont val="Arial"/>
        <family val="0"/>
        <charset val="1"/>
      </rPr>
      <t xml:space="preserve">(€)</t>
    </r>
  </si>
  <si>
    <r>
      <rPr>
        <b val="true"/>
        <sz val="11"/>
        <color rgb="FF2C3E50"/>
        <rFont val="DejaVu Sans"/>
        <family val="2"/>
      </rPr>
      <t xml:space="preserve">연 총 충당 예산 </t>
    </r>
    <r>
      <rPr>
        <b val="true"/>
        <sz val="11"/>
        <color rgb="FF2C3E50"/>
        <rFont val="Arial"/>
        <family val="0"/>
        <charset val="1"/>
      </rPr>
      <t xml:space="preserve">(€)</t>
    </r>
  </si>
  <si>
    <r>
      <rPr>
        <b val="true"/>
        <sz val="11"/>
        <color rgb="FF2C3E50"/>
        <rFont val="Arial"/>
        <family val="0"/>
        <charset val="1"/>
      </rPr>
      <t xml:space="preserve">YTD </t>
    </r>
    <r>
      <rPr>
        <b val="true"/>
        <sz val="11"/>
        <color rgb="FF2C3E50"/>
        <rFont val="DejaVu Sans"/>
        <family val="2"/>
      </rPr>
      <t xml:space="preserve">실제 정비 지출 </t>
    </r>
    <r>
      <rPr>
        <b val="true"/>
        <sz val="11"/>
        <color rgb="FF2C3E50"/>
        <rFont val="Arial"/>
        <family val="0"/>
        <charset val="1"/>
      </rPr>
      <t xml:space="preserve">(€)</t>
    </r>
  </si>
  <si>
    <t xml:space="preserve">카테고리</t>
  </si>
  <si>
    <r>
      <rPr>
        <b val="true"/>
        <sz val="11"/>
        <color rgb="FFFFFFFF"/>
        <rFont val="DejaVu Sans"/>
        <family val="2"/>
      </rPr>
      <t xml:space="preserve">금액 </t>
    </r>
    <r>
      <rPr>
        <b val="true"/>
        <sz val="11"/>
        <color rgb="FFFFFFFF"/>
        <rFont val="Arial"/>
        <family val="0"/>
        <charset val="1"/>
      </rPr>
      <t xml:space="preserve">(€)</t>
    </r>
  </si>
  <si>
    <t xml:space="preserve">주행거리 시점</t>
  </si>
  <si>
    <r>
      <rPr>
        <sz val="11"/>
        <color rgb="FF0000FF"/>
        <rFont val="Arial"/>
        <family val="0"/>
        <charset val="1"/>
      </rPr>
      <t xml:space="preserve">YTD </t>
    </r>
    <r>
      <rPr>
        <sz val="11"/>
        <color rgb="FF0000FF"/>
        <rFont val="DejaVu Sans"/>
        <family val="2"/>
      </rPr>
      <t xml:space="preserve">큰수리 지출 </t>
    </r>
    <r>
      <rPr>
        <sz val="11"/>
        <color rgb="FF0000FF"/>
        <rFont val="Arial"/>
        <family val="0"/>
        <charset val="1"/>
      </rPr>
      <t xml:space="preserve">(€)</t>
    </r>
  </si>
  <si>
    <r>
      <rPr>
        <b val="true"/>
        <sz val="18"/>
        <color rgb="FF2C3E50"/>
        <rFont val="DejaVu Sans"/>
        <family val="2"/>
      </rPr>
      <t xml:space="preserve">🧮 가격 계산기 — 거리</t>
    </r>
    <r>
      <rPr>
        <b val="true"/>
        <sz val="18"/>
        <color rgb="FF2C3E50"/>
        <rFont val="Arial"/>
        <family val="0"/>
        <charset val="1"/>
      </rPr>
      <t xml:space="preserve">·</t>
    </r>
    <r>
      <rPr>
        <b val="true"/>
        <sz val="18"/>
        <color rgb="FF2C3E50"/>
        <rFont val="DejaVu Sans"/>
        <family val="2"/>
      </rPr>
      <t xml:space="preserve">인원</t>
    </r>
    <r>
      <rPr>
        <b val="true"/>
        <sz val="18"/>
        <color rgb="FF2C3E50"/>
        <rFont val="Arial"/>
        <family val="0"/>
        <charset val="1"/>
      </rPr>
      <t xml:space="preserve">·</t>
    </r>
    <r>
      <rPr>
        <b val="true"/>
        <sz val="18"/>
        <color rgb="FF2C3E50"/>
        <rFont val="DejaVu Sans"/>
        <family val="2"/>
      </rPr>
      <t xml:space="preserve">티어 입력</t>
    </r>
  </si>
  <si>
    <r>
      <rPr>
        <b val="true"/>
        <sz val="14"/>
        <color rgb="FF2C3E50"/>
        <rFont val="DejaVu Sans"/>
        <family val="2"/>
      </rPr>
      <t xml:space="preserve">입력 </t>
    </r>
    <r>
      <rPr>
        <b val="true"/>
        <sz val="14"/>
        <color rgb="FF2C3E50"/>
        <rFont val="Arial"/>
        <family val="0"/>
        <charset val="1"/>
      </rPr>
      <t xml:space="preserve">(</t>
    </r>
    <r>
      <rPr>
        <b val="true"/>
        <sz val="14"/>
        <color rgb="FF2C3E50"/>
        <rFont val="DejaVu Sans"/>
        <family val="2"/>
      </rPr>
      <t xml:space="preserve">노란 셀</t>
    </r>
    <r>
      <rPr>
        <b val="true"/>
        <sz val="14"/>
        <color rgb="FF2C3E50"/>
        <rFont val="Arial"/>
        <family val="0"/>
        <charset val="1"/>
      </rPr>
      <t xml:space="preserve">)</t>
    </r>
  </si>
  <si>
    <r>
      <rPr>
        <b val="true"/>
        <sz val="11"/>
        <color rgb="FF2C3E50"/>
        <rFont val="DejaVu Sans"/>
        <family val="2"/>
      </rPr>
      <t xml:space="preserve">거리 </t>
    </r>
    <r>
      <rPr>
        <b val="true"/>
        <sz val="11"/>
        <color rgb="FF2C3E50"/>
        <rFont val="Arial"/>
        <family val="0"/>
        <charset val="1"/>
      </rPr>
      <t xml:space="preserve">(km, </t>
    </r>
    <r>
      <rPr>
        <b val="true"/>
        <sz val="11"/>
        <color rgb="FF2C3E50"/>
        <rFont val="DejaVu Sans"/>
        <family val="2"/>
      </rPr>
      <t xml:space="preserve">왕복</t>
    </r>
    <r>
      <rPr>
        <b val="true"/>
        <sz val="11"/>
        <color rgb="FF2C3E50"/>
        <rFont val="Arial"/>
        <family val="0"/>
        <charset val="1"/>
      </rPr>
      <t xml:space="preserve">) — </t>
    </r>
    <r>
      <rPr>
        <b val="true"/>
        <sz val="11"/>
        <color rgb="FF2C3E50"/>
        <rFont val="DejaVu Sans"/>
        <family val="2"/>
      </rPr>
      <t xml:space="preserve">여행</t>
    </r>
    <r>
      <rPr>
        <b val="true"/>
        <sz val="11"/>
        <color rgb="FF2C3E50"/>
        <rFont val="Arial"/>
        <family val="0"/>
        <charset val="1"/>
      </rPr>
      <t xml:space="preserve">/</t>
    </r>
    <r>
      <rPr>
        <b val="true"/>
        <sz val="11"/>
        <color rgb="FF2C3E50"/>
        <rFont val="DejaVu Sans"/>
        <family val="2"/>
      </rPr>
      <t xml:space="preserve">픽업</t>
    </r>
    <r>
      <rPr>
        <b val="true"/>
        <sz val="11"/>
        <color rgb="FF2C3E50"/>
        <rFont val="Arial"/>
        <family val="0"/>
        <charset val="1"/>
      </rPr>
      <t xml:space="preserve">/</t>
    </r>
    <r>
      <rPr>
        <b val="true"/>
        <sz val="11"/>
        <color rgb="FF2C3E50"/>
        <rFont val="DejaVu Sans"/>
        <family val="2"/>
      </rPr>
      <t xml:space="preserve">이사용</t>
    </r>
  </si>
  <si>
    <r>
      <rPr>
        <b val="true"/>
        <sz val="11"/>
        <color rgb="FF2C3E50"/>
        <rFont val="DejaVu Sans"/>
        <family val="2"/>
      </rPr>
      <t xml:space="preserve">시간 </t>
    </r>
    <r>
      <rPr>
        <b val="true"/>
        <sz val="11"/>
        <color rgb="FF2C3E50"/>
        <rFont val="Arial"/>
        <family val="0"/>
        <charset val="1"/>
      </rPr>
      <t xml:space="preserve">(h, </t>
    </r>
    <r>
      <rPr>
        <b val="true"/>
        <sz val="11"/>
        <color rgb="FF2C3E50"/>
        <rFont val="DejaVu Sans"/>
        <family val="2"/>
      </rPr>
      <t xml:space="preserve">운행 </t>
    </r>
    <r>
      <rPr>
        <b val="true"/>
        <sz val="11"/>
        <color rgb="FF2C3E50"/>
        <rFont val="Arial"/>
        <family val="0"/>
        <charset val="1"/>
      </rPr>
      <t xml:space="preserve">+ </t>
    </r>
    <r>
      <rPr>
        <b val="true"/>
        <sz val="11"/>
        <color rgb="FF2C3E50"/>
        <rFont val="DejaVu Sans"/>
        <family val="2"/>
      </rPr>
      <t xml:space="preserve">가이드</t>
    </r>
    <r>
      <rPr>
        <b val="true"/>
        <sz val="11"/>
        <color rgb="FF2C3E50"/>
        <rFont val="Arial"/>
        <family val="0"/>
        <charset val="1"/>
      </rPr>
      <t xml:space="preserve">)</t>
    </r>
  </si>
  <si>
    <r>
      <rPr>
        <b val="true"/>
        <sz val="11"/>
        <color rgb="FF2C3E50"/>
        <rFont val="DejaVu Sans"/>
        <family val="2"/>
      </rPr>
      <t xml:space="preserve">친구 인원 </t>
    </r>
    <r>
      <rPr>
        <b val="true"/>
        <sz val="11"/>
        <color rgb="FF2C3E50"/>
        <rFont val="Arial"/>
        <family val="0"/>
        <charset val="1"/>
      </rPr>
      <t xml:space="preserve">(</t>
    </r>
    <r>
      <rPr>
        <b val="true"/>
        <sz val="11"/>
        <color rgb="FF2C3E50"/>
        <rFont val="DejaVu Sans"/>
        <family val="2"/>
      </rPr>
      <t xml:space="preserve">운전자 제외</t>
    </r>
    <r>
      <rPr>
        <b val="true"/>
        <sz val="11"/>
        <color rgb="FF2C3E50"/>
        <rFont val="Arial"/>
        <family val="0"/>
        <charset val="1"/>
      </rPr>
      <t xml:space="preserve">)</t>
    </r>
  </si>
  <si>
    <r>
      <rPr>
        <b val="true"/>
        <sz val="11"/>
        <color rgb="FF2C3E50"/>
        <rFont val="DejaVu Sans"/>
        <family val="2"/>
      </rPr>
      <t xml:space="preserve">티어 </t>
    </r>
    <r>
      <rPr>
        <b val="true"/>
        <sz val="11"/>
        <color rgb="FF2C3E50"/>
        <rFont val="Arial"/>
        <family val="0"/>
        <charset val="1"/>
      </rPr>
      <t xml:space="preserve">(1=</t>
    </r>
    <r>
      <rPr>
        <b val="true"/>
        <sz val="11"/>
        <color rgb="FF2C3E50"/>
        <rFont val="DejaVu Sans"/>
        <family val="2"/>
      </rPr>
      <t xml:space="preserve">절친 </t>
    </r>
    <r>
      <rPr>
        <b val="true"/>
        <sz val="11"/>
        <color rgb="FF2C3E50"/>
        <rFont val="Arial"/>
        <family val="0"/>
        <charset val="1"/>
      </rPr>
      <t xml:space="preserve">/ 2=</t>
    </r>
    <r>
      <rPr>
        <b val="true"/>
        <sz val="11"/>
        <color rgb="FF2C3E50"/>
        <rFont val="DejaVu Sans"/>
        <family val="2"/>
      </rPr>
      <t xml:space="preserve">친구 </t>
    </r>
    <r>
      <rPr>
        <b val="true"/>
        <sz val="11"/>
        <color rgb="FF2C3E50"/>
        <rFont val="Arial"/>
        <family val="0"/>
        <charset val="1"/>
      </rPr>
      <t xml:space="preserve">/ 3=</t>
    </r>
    <r>
      <rPr>
        <b val="true"/>
        <sz val="11"/>
        <color rgb="FF2C3E50"/>
        <rFont val="DejaVu Sans"/>
        <family val="2"/>
      </rPr>
      <t xml:space="preserve">지인</t>
    </r>
    <r>
      <rPr>
        <b val="true"/>
        <sz val="11"/>
        <color rgb="FF2C3E50"/>
        <rFont val="Arial"/>
        <family val="0"/>
        <charset val="1"/>
      </rPr>
      <t xml:space="preserve">)</t>
    </r>
  </si>
  <si>
    <r>
      <rPr>
        <b val="true"/>
        <sz val="11"/>
        <color rgb="FF2C3E50"/>
        <rFont val="Arial"/>
        <family val="0"/>
        <charset val="1"/>
      </rPr>
      <t xml:space="preserve">🆕 IKEA → </t>
    </r>
    <r>
      <rPr>
        <b val="true"/>
        <sz val="11"/>
        <color rgb="FF2C3E50"/>
        <rFont val="DejaVu Sans"/>
        <family val="2"/>
      </rPr>
      <t xml:space="preserve">집 거리 </t>
    </r>
    <r>
      <rPr>
        <b val="true"/>
        <sz val="11"/>
        <color rgb="FF2C3E50"/>
        <rFont val="Arial"/>
        <family val="0"/>
        <charset val="1"/>
      </rPr>
      <t xml:space="preserve">(km, </t>
    </r>
    <r>
      <rPr>
        <b val="true"/>
        <sz val="11"/>
        <color rgb="FF2C3E50"/>
        <rFont val="DejaVu Sans"/>
        <family val="2"/>
      </rPr>
      <t xml:space="preserve">편도</t>
    </r>
    <r>
      <rPr>
        <b val="true"/>
        <sz val="11"/>
        <color rgb="FF2C3E50"/>
        <rFont val="Arial"/>
        <family val="0"/>
        <charset val="1"/>
      </rPr>
      <t xml:space="preserve">)</t>
    </r>
  </si>
  <si>
    <r>
      <rPr>
        <b val="true"/>
        <sz val="14"/>
        <color rgb="FF2C3E50"/>
        <rFont val="DejaVu Sans"/>
        <family val="2"/>
      </rPr>
      <t xml:space="preserve">출력 </t>
    </r>
    <r>
      <rPr>
        <b val="true"/>
        <sz val="14"/>
        <color rgb="FF2C3E50"/>
        <rFont val="Arial"/>
        <family val="0"/>
        <charset val="1"/>
      </rPr>
      <t xml:space="preserve">(</t>
    </r>
    <r>
      <rPr>
        <b val="true"/>
        <sz val="14"/>
        <color rgb="FF2C3E50"/>
        <rFont val="DejaVu Sans"/>
        <family val="2"/>
      </rPr>
      <t xml:space="preserve">자동 계산</t>
    </r>
    <r>
      <rPr>
        <b val="true"/>
        <sz val="14"/>
        <color rgb="FF2C3E50"/>
        <rFont val="Arial"/>
        <family val="0"/>
        <charset val="1"/>
      </rPr>
      <t xml:space="preserve">)</t>
    </r>
  </si>
  <si>
    <r>
      <rPr>
        <i val="true"/>
        <sz val="9"/>
        <color rgb="FF7F8C8D"/>
        <rFont val="DejaVu Sans"/>
        <family val="2"/>
      </rPr>
      <t xml:space="preserve">차량</t>
    </r>
    <r>
      <rPr>
        <i val="true"/>
        <sz val="9"/>
        <color rgb="FF7F8C8D"/>
        <rFont val="Arial"/>
        <family val="0"/>
        <charset val="1"/>
      </rPr>
      <t xml:space="preserve">_</t>
    </r>
    <r>
      <rPr>
        <i val="true"/>
        <sz val="9"/>
        <color rgb="FF7F8C8D"/>
        <rFont val="DejaVu Sans"/>
        <family val="2"/>
      </rPr>
      <t xml:space="preserve">정보 시트에서 자동 참조</t>
    </r>
  </si>
  <si>
    <t xml:space="preserve">총 진짜 비용</t>
  </si>
  <si>
    <r>
      <rPr>
        <i val="true"/>
        <sz val="9"/>
        <color rgb="FF7F8C8D"/>
        <rFont val="Arial"/>
        <family val="0"/>
        <charset val="1"/>
      </rPr>
      <t xml:space="preserve">km × km</t>
    </r>
    <r>
      <rPr>
        <i val="true"/>
        <sz val="9"/>
        <color rgb="FF7F8C8D"/>
        <rFont val="DejaVu Sans"/>
        <family val="2"/>
      </rPr>
      <t xml:space="preserve">당 실비</t>
    </r>
  </si>
  <si>
    <r>
      <rPr>
        <sz val="11"/>
        <rFont val="DejaVu Sans"/>
        <family val="2"/>
      </rPr>
      <t xml:space="preserve">마모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감가 부분</t>
    </r>
  </si>
  <si>
    <r>
      <rPr>
        <sz val="11"/>
        <rFont val="DejaVu Sans"/>
        <family val="2"/>
      </rPr>
      <t xml:space="preserve">🌿 여행 모드 </t>
    </r>
    <r>
      <rPr>
        <sz val="11"/>
        <rFont val="Arial"/>
        <family val="0"/>
        <charset val="1"/>
      </rPr>
      <t xml:space="preserve">1</t>
    </r>
    <r>
      <rPr>
        <sz val="11"/>
        <rFont val="DejaVu Sans"/>
        <family val="2"/>
      </rPr>
      <t xml:space="preserve">인당 </t>
    </r>
    <r>
      <rPr>
        <sz val="11"/>
        <rFont val="Arial"/>
        <family val="0"/>
        <charset val="1"/>
      </rPr>
      <t xml:space="preserve">(Tier 1 </t>
    </r>
    <r>
      <rPr>
        <sz val="11"/>
        <rFont val="DejaVu Sans"/>
        <family val="2"/>
      </rPr>
      <t xml:space="preserve">절친 €</t>
    </r>
    <r>
      <rPr>
        <sz val="11"/>
        <rFont val="Arial"/>
        <family val="0"/>
        <charset val="1"/>
      </rPr>
      <t xml:space="preserve">0.15)</t>
    </r>
  </si>
  <si>
    <r>
      <rPr>
        <i val="true"/>
        <sz val="9"/>
        <color rgb="FF7F8C8D"/>
        <rFont val="Arial"/>
        <family val="0"/>
        <charset val="1"/>
      </rPr>
      <t xml:space="preserve">4</t>
    </r>
    <r>
      <rPr>
        <i val="true"/>
        <sz val="9"/>
        <color rgb="FF7F8C8D"/>
        <rFont val="DejaVu Sans"/>
        <family val="2"/>
      </rPr>
      <t xml:space="preserve">명이면 </t>
    </r>
    <r>
      <rPr>
        <i val="true"/>
        <sz val="9"/>
        <color rgb="FF7F8C8D"/>
        <rFont val="Arial"/>
        <family val="0"/>
        <charset val="1"/>
      </rPr>
      <t xml:space="preserve">×4</t>
    </r>
  </si>
  <si>
    <r>
      <rPr>
        <sz val="11"/>
        <rFont val="DejaVu Sans"/>
        <family val="2"/>
      </rPr>
      <t xml:space="preserve">🌿 여행 모드 </t>
    </r>
    <r>
      <rPr>
        <sz val="11"/>
        <rFont val="Arial"/>
        <family val="0"/>
        <charset val="1"/>
      </rPr>
      <t xml:space="preserve">1</t>
    </r>
    <r>
      <rPr>
        <sz val="11"/>
        <rFont val="DejaVu Sans"/>
        <family val="2"/>
      </rPr>
      <t xml:space="preserve">인당 </t>
    </r>
    <r>
      <rPr>
        <sz val="11"/>
        <rFont val="Arial"/>
        <family val="0"/>
        <charset val="1"/>
      </rPr>
      <t xml:space="preserve">(Tier 2 </t>
    </r>
    <r>
      <rPr>
        <sz val="11"/>
        <rFont val="DejaVu Sans"/>
        <family val="2"/>
      </rPr>
      <t xml:space="preserve">친구 €</t>
    </r>
    <r>
      <rPr>
        <sz val="11"/>
        <rFont val="Arial"/>
        <family val="0"/>
        <charset val="1"/>
      </rPr>
      <t xml:space="preserve">0.20)</t>
    </r>
  </si>
  <si>
    <r>
      <rPr>
        <sz val="11"/>
        <rFont val="DejaVu Sans"/>
        <family val="2"/>
      </rPr>
      <t xml:space="preserve">🌿 여행 모드 </t>
    </r>
    <r>
      <rPr>
        <sz val="11"/>
        <rFont val="Arial"/>
        <family val="0"/>
        <charset val="1"/>
      </rPr>
      <t xml:space="preserve">1</t>
    </r>
    <r>
      <rPr>
        <sz val="11"/>
        <rFont val="DejaVu Sans"/>
        <family val="2"/>
      </rPr>
      <t xml:space="preserve">인당 </t>
    </r>
    <r>
      <rPr>
        <sz val="11"/>
        <rFont val="Arial"/>
        <family val="0"/>
        <charset val="1"/>
      </rPr>
      <t xml:space="preserve">(Tier 3 </t>
    </r>
    <r>
      <rPr>
        <sz val="11"/>
        <rFont val="DejaVu Sans"/>
        <family val="2"/>
      </rPr>
      <t xml:space="preserve">지인 €</t>
    </r>
    <r>
      <rPr>
        <sz val="11"/>
        <rFont val="Arial"/>
        <family val="0"/>
        <charset val="1"/>
      </rPr>
      <t xml:space="preserve">0.25)</t>
    </r>
  </si>
  <si>
    <r>
      <rPr>
        <sz val="11"/>
        <rFont val="DejaVu Sans"/>
        <family val="2"/>
      </rPr>
      <t xml:space="preserve">🌿 여행 모드 그룹 합계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선택 티어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</si>
  <si>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7F8C8D"/>
        <rFont val="DejaVu Sans"/>
        <family val="2"/>
      </rPr>
      <t xml:space="preserve">거리 </t>
    </r>
    <r>
      <rPr>
        <i val="true"/>
        <sz val="9"/>
        <color rgb="FF7F8C8D"/>
        <rFont val="Arial"/>
        <family val="0"/>
        <charset val="1"/>
      </rPr>
      <t xml:space="preserve">× </t>
    </r>
    <r>
      <rPr>
        <i val="true"/>
        <sz val="9"/>
        <color rgb="FF7F8C8D"/>
        <rFont val="DejaVu Sans"/>
        <family val="2"/>
      </rPr>
      <t xml:space="preserve">티어 </t>
    </r>
    <r>
      <rPr>
        <i val="true"/>
        <sz val="9"/>
        <color rgb="FF7F8C8D"/>
        <rFont val="Arial"/>
        <family val="0"/>
        <charset val="1"/>
      </rPr>
      <t xml:space="preserve">× </t>
    </r>
    <r>
      <rPr>
        <i val="true"/>
        <sz val="9"/>
        <color rgb="FF7F8C8D"/>
        <rFont val="DejaVu Sans"/>
        <family val="2"/>
      </rPr>
      <t xml:space="preserve">인원</t>
    </r>
  </si>
  <si>
    <r>
      <rPr>
        <sz val="11"/>
        <rFont val="DejaVu Sans"/>
        <family val="2"/>
      </rPr>
      <t xml:space="preserve">🚗 픽업 모드 권장가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시내 </t>
    </r>
    <r>
      <rPr>
        <sz val="11"/>
        <rFont val="Arial"/>
        <family val="0"/>
        <charset val="1"/>
      </rPr>
      <t xml:space="preserve">12km </t>
    </r>
    <r>
      <rPr>
        <sz val="11"/>
        <rFont val="DejaVu Sans"/>
        <family val="2"/>
      </rPr>
      <t xml:space="preserve">이내</t>
    </r>
    <r>
      <rPr>
        <sz val="11"/>
        <rFont val="Arial"/>
        <family val="0"/>
        <charset val="1"/>
      </rPr>
      <t xml:space="preserve">)</t>
    </r>
  </si>
  <si>
    <r>
      <rPr>
        <sz val="11"/>
        <rFont val="DejaVu Sans"/>
        <family val="2"/>
      </rPr>
      <t xml:space="preserve">🚗 픽업 모드 권장가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외곽</t>
    </r>
    <r>
      <rPr>
        <sz val="11"/>
        <rFont val="Arial"/>
        <family val="0"/>
        <charset val="1"/>
      </rPr>
      <t xml:space="preserve">, 12km </t>
    </r>
    <r>
      <rPr>
        <sz val="11"/>
        <rFont val="DejaVu Sans"/>
        <family val="2"/>
      </rPr>
      <t xml:space="preserve">초과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</si>
  <si>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7F8C8D"/>
        <rFont val="Arial"/>
        <family val="0"/>
        <charset val="1"/>
      </rPr>
      <t xml:space="preserve">12km </t>
    </r>
    <r>
      <rPr>
        <i val="true"/>
        <sz val="9"/>
        <color rgb="FF7F8C8D"/>
        <rFont val="DejaVu Sans"/>
        <family val="2"/>
      </rPr>
      <t xml:space="preserve">초과분 </t>
    </r>
    <r>
      <rPr>
        <i val="true"/>
        <sz val="9"/>
        <color rgb="FF7F8C8D"/>
        <rFont val="Arial"/>
        <family val="0"/>
        <charset val="1"/>
      </rPr>
      <t xml:space="preserve">×€1.5</t>
    </r>
  </si>
  <si>
    <r>
      <rPr>
        <sz val="11"/>
        <rFont val="DejaVu Sans"/>
        <family val="2"/>
      </rPr>
      <t xml:space="preserve">🏠 이사 모드 권장가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시간 </t>
    </r>
    <r>
      <rPr>
        <sz val="11"/>
        <rFont val="Arial"/>
        <family val="0"/>
        <charset val="1"/>
      </rPr>
      <t xml:space="preserve">+ km)</t>
    </r>
  </si>
  <si>
    <r>
      <rPr>
        <i val="true"/>
        <sz val="9"/>
        <color rgb="FF7F8C8D"/>
        <rFont val="DejaVu Sans"/>
        <family val="2"/>
      </rPr>
      <t xml:space="preserve">시간 </t>
    </r>
    <r>
      <rPr>
        <i val="true"/>
        <sz val="9"/>
        <color rgb="FF7F8C8D"/>
        <rFont val="Arial"/>
        <family val="0"/>
        <charset val="1"/>
      </rPr>
      <t xml:space="preserve">× €20 + km × €0.5 + </t>
    </r>
    <r>
      <rPr>
        <i val="true"/>
        <sz val="9"/>
        <color rgb="FF7F8C8D"/>
        <rFont val="DejaVu Sans"/>
        <family val="2"/>
      </rPr>
      <t xml:space="preserve">기본 €</t>
    </r>
    <r>
      <rPr>
        <i val="true"/>
        <sz val="9"/>
        <color rgb="FF7F8C8D"/>
        <rFont val="Arial"/>
        <family val="0"/>
        <charset val="1"/>
      </rPr>
      <t xml:space="preserve">30</t>
    </r>
  </si>
  <si>
    <r>
      <rPr>
        <sz val="11"/>
        <rFont val="DejaVu Sans"/>
        <family val="2"/>
      </rPr>
      <t xml:space="preserve">📦 시내 짐 운송 </t>
    </r>
    <r>
      <rPr>
        <sz val="11"/>
        <rFont val="Arial"/>
        <family val="0"/>
        <charset val="1"/>
      </rPr>
      <t xml:space="preserve">(1h, </t>
    </r>
    <r>
      <rPr>
        <sz val="11"/>
        <rFont val="DejaVu Sans"/>
        <family val="2"/>
      </rPr>
      <t xml:space="preserve">캐리어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박스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</si>
  <si>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7F8C8D"/>
        <rFont val="Arial"/>
        <family val="0"/>
        <charset val="1"/>
      </rPr>
      <t xml:space="preserve">Red Door €45 </t>
    </r>
    <r>
      <rPr>
        <i val="true"/>
        <sz val="9"/>
        <color rgb="FF7F8C8D"/>
        <rFont val="DejaVu Sans"/>
        <family val="2"/>
      </rPr>
      <t xml:space="preserve">대비 −€</t>
    </r>
    <r>
      <rPr>
        <i val="true"/>
        <sz val="9"/>
        <color rgb="FF7F8C8D"/>
        <rFont val="Arial"/>
        <family val="0"/>
        <charset val="1"/>
      </rPr>
      <t xml:space="preserve">5</t>
    </r>
  </si>
  <si>
    <r>
      <rPr>
        <sz val="11"/>
        <rFont val="Arial"/>
        <family val="0"/>
        <charset val="1"/>
      </rPr>
      <t xml:space="preserve">🆕 📦 IKEA Tier A </t>
    </r>
    <r>
      <rPr>
        <sz val="11"/>
        <rFont val="DejaVu Sans"/>
        <family val="2"/>
      </rPr>
      <t xml:space="preserve">권장가 </t>
    </r>
    <r>
      <rPr>
        <sz val="11"/>
        <rFont val="Arial"/>
        <family val="0"/>
        <charset val="1"/>
      </rPr>
      <t xml:space="preserve">(Zone </t>
    </r>
    <r>
      <rPr>
        <sz val="11"/>
        <rFont val="DejaVu Sans"/>
        <family val="2"/>
      </rPr>
      <t xml:space="preserve">자동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</si>
  <si>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7F8C8D"/>
        <rFont val="Arial"/>
        <family val="0"/>
        <charset val="1"/>
      </rPr>
      <t xml:space="preserve">IKEA → </t>
    </r>
    <r>
      <rPr>
        <i val="true"/>
        <sz val="9"/>
        <color rgb="FF7F8C8D"/>
        <rFont val="DejaVu Sans"/>
        <family val="2"/>
      </rPr>
      <t xml:space="preserve">집 거리 입력 </t>
    </r>
    <r>
      <rPr>
        <i val="true"/>
        <sz val="9"/>
        <color rgb="FF7F8C8D"/>
        <rFont val="Arial"/>
        <family val="0"/>
        <charset val="1"/>
      </rPr>
      <t xml:space="preserve">(B8)</t>
    </r>
  </si>
  <si>
    <r>
      <rPr>
        <sz val="11"/>
        <rFont val="DejaVu Sans"/>
        <family val="2"/>
      </rPr>
      <t xml:space="preserve">   ↳ 해당 </t>
    </r>
    <r>
      <rPr>
        <sz val="11"/>
        <rFont val="Arial"/>
        <family val="0"/>
        <charset val="1"/>
      </rPr>
      <t xml:space="preserve">Zone</t>
    </r>
  </si>
  <si>
    <t xml:space="preserve">거리 기반 자동 분류</t>
  </si>
  <si>
    <r>
      <rPr>
        <sz val="11"/>
        <rFont val="Arial"/>
        <family val="0"/>
        <charset val="1"/>
      </rPr>
      <t xml:space="preserve">   ↳ 50km+ </t>
    </r>
    <r>
      <rPr>
        <sz val="11"/>
        <rFont val="DejaVu Sans"/>
        <family val="2"/>
      </rPr>
      <t xml:space="preserve">시 </t>
    </r>
    <r>
      <rPr>
        <sz val="11"/>
        <rFont val="Arial"/>
        <family val="0"/>
        <charset val="1"/>
      </rPr>
      <t xml:space="preserve">km</t>
    </r>
    <r>
      <rPr>
        <sz val="11"/>
        <rFont val="DejaVu Sans"/>
        <family val="2"/>
      </rPr>
      <t xml:space="preserve">당 추가</t>
    </r>
  </si>
  <si>
    <r>
      <rPr>
        <i val="true"/>
        <sz val="9"/>
        <color rgb="FF7F8C8D"/>
        <rFont val="DejaVu Sans"/>
        <family val="2"/>
      </rPr>
      <t xml:space="preserve">존</t>
    </r>
    <r>
      <rPr>
        <i val="true"/>
        <sz val="9"/>
        <color rgb="FF7F8C8D"/>
        <rFont val="Arial"/>
        <family val="0"/>
        <charset val="1"/>
      </rPr>
      <t xml:space="preserve">5 </t>
    </r>
    <r>
      <rPr>
        <i val="true"/>
        <sz val="9"/>
        <color rgb="FF7F8C8D"/>
        <rFont val="DejaVu Sans"/>
        <family val="2"/>
      </rPr>
      <t xml:space="preserve">공식</t>
    </r>
    <r>
      <rPr>
        <i val="true"/>
        <sz val="9"/>
        <color rgb="FF7F8C8D"/>
        <rFont val="Arial"/>
        <family val="0"/>
        <charset val="1"/>
      </rPr>
      <t xml:space="preserve">: €50 + (</t>
    </r>
    <r>
      <rPr>
        <i val="true"/>
        <sz val="9"/>
        <color rgb="FF7F8C8D"/>
        <rFont val="DejaVu Sans"/>
        <family val="2"/>
      </rPr>
      <t xml:space="preserve">거리−</t>
    </r>
    <r>
      <rPr>
        <i val="true"/>
        <sz val="9"/>
        <color rgb="FF7F8C8D"/>
        <rFont val="Arial"/>
        <family val="0"/>
        <charset val="1"/>
      </rPr>
      <t xml:space="preserve">10)×€2</t>
    </r>
  </si>
  <si>
    <r>
      <rPr>
        <b val="true"/>
        <sz val="14"/>
        <color rgb="FF2C3E50"/>
        <rFont val="Arial"/>
        <family val="0"/>
        <charset val="1"/>
      </rPr>
      <t xml:space="preserve">📋 6</t>
    </r>
    <r>
      <rPr>
        <b val="true"/>
        <sz val="14"/>
        <color rgb="FF2C3E50"/>
        <rFont val="DejaVu Sans"/>
        <family val="2"/>
      </rPr>
      <t xml:space="preserve">개 행선지 빠른 참조 </t>
    </r>
    <r>
      <rPr>
        <b val="true"/>
        <sz val="14"/>
        <color rgb="FF2C3E50"/>
        <rFont val="Arial"/>
        <family val="0"/>
        <charset val="1"/>
      </rPr>
      <t xml:space="preserve">(4</t>
    </r>
    <r>
      <rPr>
        <b val="true"/>
        <sz val="14"/>
        <color rgb="FF2C3E50"/>
        <rFont val="DejaVu Sans"/>
        <family val="2"/>
      </rPr>
      <t xml:space="preserve">명 그룹</t>
    </r>
    <r>
      <rPr>
        <b val="true"/>
        <sz val="14"/>
        <color rgb="FF2C3E50"/>
        <rFont val="Arial"/>
        <family val="0"/>
        <charset val="1"/>
      </rPr>
      <t xml:space="preserve">)</t>
    </r>
  </si>
  <si>
    <t xml:space="preserve">행선지</t>
  </si>
  <si>
    <r>
      <rPr>
        <b val="true"/>
        <sz val="11"/>
        <color rgb="FFFFFFFF"/>
        <rFont val="Arial"/>
        <family val="0"/>
        <charset val="1"/>
      </rPr>
      <t xml:space="preserve">Tier 1 (</t>
    </r>
    <r>
      <rPr>
        <b val="true"/>
        <sz val="11"/>
        <color rgb="FFFFFFFF"/>
        <rFont val="DejaVu Sans"/>
        <family val="2"/>
      </rPr>
      <t xml:space="preserve">절친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</si>
  <si>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Tier 2 (</t>
    </r>
    <r>
      <rPr>
        <b val="true"/>
        <sz val="11"/>
        <color rgb="FFFFFFFF"/>
        <rFont val="DejaVu Sans"/>
        <family val="2"/>
      </rPr>
      <t xml:space="preserve">친구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</si>
  <si>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Tier 3 (</t>
    </r>
    <r>
      <rPr>
        <b val="true"/>
        <sz val="11"/>
        <color rgb="FFFFFFFF"/>
        <rFont val="DejaVu Sans"/>
        <family val="2"/>
      </rPr>
      <t xml:space="preserve">지인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</si>
  <si>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DejaVu Sans"/>
        <family val="2"/>
      </rPr>
      <t xml:space="preserve">골웨이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번래티</t>
    </r>
  </si>
  <si>
    <r>
      <rPr>
        <sz val="11"/>
        <rFont val="DejaVu Sans"/>
        <family val="2"/>
      </rPr>
      <t xml:space="preserve">북아일랜드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자이언트 코즈웨이</t>
    </r>
    <r>
      <rPr>
        <sz val="11"/>
        <rFont val="Arial"/>
        <family val="0"/>
        <charset val="1"/>
      </rPr>
      <t xml:space="preserve">)</t>
    </r>
  </si>
  <si>
    <r>
      <rPr>
        <sz val="11"/>
        <rFont val="DejaVu Sans"/>
        <family val="2"/>
      </rPr>
      <t xml:space="preserve">모허 </t>
    </r>
    <r>
      <rPr>
        <sz val="11"/>
        <rFont val="Arial"/>
        <family val="0"/>
        <charset val="1"/>
      </rPr>
      <t xml:space="preserve">(Cliffs of Moher)</t>
    </r>
  </si>
  <si>
    <t xml:space="preserve">Donegal</t>
  </si>
  <si>
    <t xml:space="preserve">Kerry/Dingle</t>
  </si>
  <si>
    <r>
      <rPr>
        <b val="true"/>
        <sz val="14"/>
        <color rgb="FF2C3E50"/>
        <rFont val="Arial"/>
        <family val="0"/>
        <charset val="1"/>
      </rPr>
      <t xml:space="preserve">📦 IKEA Tier A — Zone</t>
    </r>
    <r>
      <rPr>
        <b val="true"/>
        <sz val="14"/>
        <color rgb="FF2C3E50"/>
        <rFont val="DejaVu Sans"/>
        <family val="2"/>
      </rPr>
      <t xml:space="preserve">별 빠른 참조</t>
    </r>
  </si>
  <si>
    <t xml:space="preserve">Zone</t>
  </si>
  <si>
    <r>
      <rPr>
        <b val="true"/>
        <sz val="11"/>
        <color rgb="FFFFFFFF"/>
        <rFont val="Arial"/>
        <family val="0"/>
        <charset val="1"/>
      </rPr>
      <t xml:space="preserve">IKEA → </t>
    </r>
    <r>
      <rPr>
        <b val="true"/>
        <sz val="11"/>
        <color rgb="FFFFFFFF"/>
        <rFont val="DejaVu Sans"/>
        <family val="2"/>
      </rPr>
      <t xml:space="preserve">집 거리</t>
    </r>
  </si>
  <si>
    <t xml:space="preserve">대표 지역</t>
  </si>
  <si>
    <t xml:space="preserve">권장가</t>
  </si>
  <si>
    <t xml:space="preserve">Zone 1</t>
  </si>
  <si>
    <t xml:space="preserve">0–10 km</t>
  </si>
  <si>
    <t xml:space="preserve">D1–D8, D9, D15</t>
  </si>
  <si>
    <t xml:space="preserve">시내 대부분</t>
  </si>
  <si>
    <t xml:space="preserve">Zone 2</t>
  </si>
  <si>
    <t xml:space="preserve">10–20 km</t>
  </si>
  <si>
    <t xml:space="preserve">D24·Tallaght·Lucan·Howth</t>
  </si>
  <si>
    <t xml:space="preserve">Zone 3</t>
  </si>
  <si>
    <t xml:space="preserve">20–30 km</t>
  </si>
  <si>
    <t xml:space="preserve">Maynooth·Bray·Greystones</t>
  </si>
  <si>
    <t xml:space="preserve">Zone 4</t>
  </si>
  <si>
    <t xml:space="preserve">30–50 km</t>
  </si>
  <si>
    <t xml:space="preserve">Drogheda·Naas·Wicklow Town</t>
  </si>
  <si>
    <t xml:space="preserve">Zone 5</t>
  </si>
  <si>
    <t xml:space="preserve">50 km +</t>
  </si>
  <si>
    <r>
      <rPr>
        <b val="true"/>
        <sz val="11"/>
        <color rgb="FF2C3E50"/>
        <rFont val="Arial"/>
        <family val="0"/>
        <charset val="1"/>
      </rPr>
      <t xml:space="preserve">€50+(</t>
    </r>
    <r>
      <rPr>
        <b val="true"/>
        <sz val="11"/>
        <color rgb="FF2C3E50"/>
        <rFont val="DejaVu Sans"/>
        <family val="2"/>
      </rPr>
      <t xml:space="preserve">거리−</t>
    </r>
    <r>
      <rPr>
        <b val="true"/>
        <sz val="11"/>
        <color rgb="FF2C3E50"/>
        <rFont val="Arial"/>
        <family val="0"/>
        <charset val="1"/>
      </rPr>
      <t xml:space="preserve">10)×€2</t>
    </r>
  </si>
  <si>
    <r>
      <rPr>
        <i val="true"/>
        <sz val="9"/>
        <color rgb="FF7F8C8D"/>
        <rFont val="DejaVu Sans"/>
        <family val="2"/>
      </rPr>
      <t xml:space="preserve">예</t>
    </r>
    <r>
      <rPr>
        <i val="true"/>
        <sz val="9"/>
        <color rgb="FF7F8C8D"/>
        <rFont val="Arial"/>
        <family val="0"/>
        <charset val="1"/>
      </rPr>
      <t xml:space="preserve">: 60km = €150</t>
    </r>
  </si>
  <si>
    <r>
      <rPr>
        <b val="true"/>
        <sz val="11"/>
        <color rgb="FF2C3E50"/>
        <rFont val="DejaVu Sans"/>
        <family val="2"/>
      </rPr>
      <t xml:space="preserve">📦 차량 적재량 </t>
    </r>
    <r>
      <rPr>
        <b val="true"/>
        <sz val="11"/>
        <color rgb="FF2C3E50"/>
        <rFont val="Arial"/>
        <family val="0"/>
        <charset val="1"/>
      </rPr>
      <t xml:space="preserve">(Citroen Grand C4 Picasso 2012, 7</t>
    </r>
    <r>
      <rPr>
        <b val="true"/>
        <sz val="11"/>
        <color rgb="FF2C3E50"/>
        <rFont val="DejaVu Sans"/>
        <family val="2"/>
      </rPr>
      <t xml:space="preserve">인승 </t>
    </r>
    <r>
      <rPr>
        <b val="true"/>
        <sz val="11"/>
        <color rgb="FF2C3E50"/>
        <rFont val="Arial"/>
        <family val="0"/>
        <charset val="1"/>
      </rPr>
      <t xml:space="preserve">MPV):</t>
    </r>
  </si>
  <si>
    <r>
      <rPr>
        <i val="true"/>
        <sz val="9"/>
        <color rgb="FF7F8C8D"/>
        <rFont val="Arial"/>
        <family val="0"/>
        <charset val="1"/>
      </rPr>
      <t xml:space="preserve">  • 5</t>
    </r>
    <r>
      <rPr>
        <i val="true"/>
        <sz val="9"/>
        <color rgb="FF7F8C8D"/>
        <rFont val="DejaVu Sans"/>
        <family val="2"/>
      </rPr>
      <t xml:space="preserve">인승 모드 부트 </t>
    </r>
    <r>
      <rPr>
        <i val="true"/>
        <sz val="9"/>
        <color rgb="FF7F8C8D"/>
        <rFont val="Arial"/>
        <family val="0"/>
        <charset val="1"/>
      </rPr>
      <t xml:space="preserve">645L = IKEA </t>
    </r>
    <r>
      <rPr>
        <i val="true"/>
        <sz val="9"/>
        <color rgb="FF7F8C8D"/>
        <rFont val="DejaVu Sans"/>
        <family val="2"/>
      </rPr>
      <t xml:space="preserve">일반 쇼핑 </t>
    </r>
    <r>
      <rPr>
        <i val="true"/>
        <sz val="9"/>
        <color rgb="FF7F8C8D"/>
        <rFont val="Arial"/>
        <family val="0"/>
        <charset val="1"/>
      </rPr>
      <t xml:space="preserve">1–2</t>
    </r>
    <r>
      <rPr>
        <i val="true"/>
        <sz val="9"/>
        <color rgb="FF7F8C8D"/>
        <rFont val="DejaVu Sans"/>
        <family val="2"/>
      </rPr>
      <t xml:space="preserve">회 </t>
    </r>
    <r>
      <rPr>
        <i val="true"/>
        <sz val="9"/>
        <color rgb="FF7F8C8D"/>
        <rFont val="Arial"/>
        <family val="0"/>
        <charset val="1"/>
      </rPr>
      <t xml:space="preserve">OK</t>
    </r>
  </si>
  <si>
    <r>
      <rPr>
        <i val="true"/>
        <sz val="9"/>
        <color rgb="FF7F8C8D"/>
        <rFont val="Arial"/>
        <family val="0"/>
        <charset val="1"/>
      </rPr>
      <t xml:space="preserve">  • 3</t>
    </r>
    <r>
      <rPr>
        <i val="true"/>
        <sz val="9"/>
        <color rgb="FF7F8C8D"/>
        <rFont val="DejaVu Sans"/>
        <family val="2"/>
      </rPr>
      <t xml:space="preserve">열 좌석 접으면 </t>
    </r>
    <r>
      <rPr>
        <i val="true"/>
        <sz val="9"/>
        <color rgb="FF7F8C8D"/>
        <rFont val="Arial"/>
        <family val="0"/>
        <charset val="1"/>
      </rPr>
      <t xml:space="preserve">1,800L = </t>
    </r>
    <r>
      <rPr>
        <i val="true"/>
        <sz val="9"/>
        <color rgb="FF7F8C8D"/>
        <rFont val="DejaVu Sans"/>
        <family val="2"/>
      </rPr>
      <t xml:space="preserve">큰 가구 </t>
    </r>
    <r>
      <rPr>
        <i val="true"/>
        <sz val="9"/>
        <color rgb="FF7F8C8D"/>
        <rFont val="Arial"/>
        <family val="0"/>
        <charset val="1"/>
      </rPr>
      <t xml:space="preserve">(</t>
    </r>
    <r>
      <rPr>
        <i val="true"/>
        <sz val="9"/>
        <color rgb="FF7F8C8D"/>
        <rFont val="DejaVu Sans"/>
        <family val="2"/>
      </rPr>
      <t xml:space="preserve">침대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옷장</t>
    </r>
    <r>
      <rPr>
        <i val="true"/>
        <sz val="9"/>
        <color rgb="FF7F8C8D"/>
        <rFont val="Arial"/>
        <family val="0"/>
        <charset val="1"/>
      </rPr>
      <t xml:space="preserve">·</t>
    </r>
    <r>
      <rPr>
        <i val="true"/>
        <sz val="9"/>
        <color rgb="FF7F8C8D"/>
        <rFont val="DejaVu Sans"/>
        <family val="2"/>
      </rPr>
      <t xml:space="preserve">책장</t>
    </r>
    <r>
      <rPr>
        <i val="true"/>
        <sz val="9"/>
        <color rgb="FF7F8C8D"/>
        <rFont val="Arial"/>
        <family val="0"/>
        <charset val="1"/>
      </rPr>
      <t xml:space="preserve">) 1</t>
    </r>
    <r>
      <rPr>
        <i val="true"/>
        <sz val="9"/>
        <color rgb="FF7F8C8D"/>
        <rFont val="DejaVu Sans"/>
        <family val="2"/>
      </rPr>
      <t xml:space="preserve">회 </t>
    </r>
    <r>
      <rPr>
        <i val="true"/>
        <sz val="9"/>
        <color rgb="FF7F8C8D"/>
        <rFont val="Arial"/>
        <family val="0"/>
        <charset val="1"/>
      </rPr>
      <t xml:space="preserve">OK</t>
    </r>
  </si>
  <si>
    <r>
      <rPr>
        <i val="true"/>
        <sz val="9"/>
        <color rgb="FF7F8C8D"/>
        <rFont val="DejaVu Sans"/>
        <family val="2"/>
      </rPr>
      <t xml:space="preserve">  • 차량 길이 </t>
    </r>
    <r>
      <rPr>
        <i val="true"/>
        <sz val="9"/>
        <color rgb="FF7F8C8D"/>
        <rFont val="Arial"/>
        <family val="0"/>
        <charset val="1"/>
      </rPr>
      <t xml:space="preserve">4.6m × </t>
    </r>
    <r>
      <rPr>
        <i val="true"/>
        <sz val="9"/>
        <color rgb="FF7F8C8D"/>
        <rFont val="DejaVu Sans"/>
        <family val="2"/>
      </rPr>
      <t xml:space="preserve">폭 </t>
    </r>
    <r>
      <rPr>
        <i val="true"/>
        <sz val="9"/>
        <color rgb="FF7F8C8D"/>
        <rFont val="Arial"/>
        <family val="0"/>
        <charset val="1"/>
      </rPr>
      <t xml:space="preserve">1.8m → </t>
    </r>
    <r>
      <rPr>
        <i val="true"/>
        <sz val="9"/>
        <color rgb="FF7F8C8D"/>
        <rFont val="DejaVu Sans"/>
        <family val="2"/>
      </rPr>
      <t xml:space="preserve">박스 길이 </t>
    </r>
    <r>
      <rPr>
        <i val="true"/>
        <sz val="9"/>
        <color rgb="FF7F8C8D"/>
        <rFont val="Arial"/>
        <family val="0"/>
        <charset val="1"/>
      </rPr>
      <t xml:space="preserve">~2.1m</t>
    </r>
    <r>
      <rPr>
        <i val="true"/>
        <sz val="9"/>
        <color rgb="FF7F8C8D"/>
        <rFont val="DejaVu Sans"/>
        <family val="2"/>
      </rPr>
      <t xml:space="preserve">까지 가능</t>
    </r>
  </si>
  <si>
    <r>
      <rPr>
        <i val="true"/>
        <sz val="9"/>
        <color rgb="FF7F8C8D"/>
        <rFont val="DejaVu Sans"/>
        <family val="2"/>
      </rPr>
      <t xml:space="preserve">  • 적재 초과 시 </t>
    </r>
    <r>
      <rPr>
        <i val="true"/>
        <sz val="9"/>
        <color rgb="FF7F8C8D"/>
        <rFont val="Arial"/>
        <family val="0"/>
        <charset val="1"/>
      </rPr>
      <t xml:space="preserve">2</t>
    </r>
    <r>
      <rPr>
        <i val="true"/>
        <sz val="9"/>
        <color rgb="FF7F8C8D"/>
        <rFont val="DejaVu Sans"/>
        <family val="2"/>
      </rPr>
      <t xml:space="preserve">회 운반 </t>
    </r>
    <r>
      <rPr>
        <i val="true"/>
        <sz val="9"/>
        <color rgb="FF7F8C8D"/>
        <rFont val="Arial"/>
        <family val="0"/>
        <charset val="1"/>
      </rPr>
      <t xml:space="preserve">= </t>
    </r>
    <r>
      <rPr>
        <i val="true"/>
        <sz val="9"/>
        <color rgb="FF7F8C8D"/>
        <rFont val="DejaVu Sans"/>
        <family val="2"/>
      </rPr>
      <t xml:space="preserve">가격 </t>
    </r>
    <r>
      <rPr>
        <i val="true"/>
        <sz val="9"/>
        <color rgb="FF7F8C8D"/>
        <rFont val="Arial"/>
        <family val="0"/>
        <charset val="1"/>
      </rPr>
      <t xml:space="preserve">×2 (</t>
    </r>
    <r>
      <rPr>
        <i val="true"/>
        <sz val="9"/>
        <color rgb="FF7F8C8D"/>
        <rFont val="DejaVu Sans"/>
        <family val="2"/>
      </rPr>
      <t xml:space="preserve">또는 </t>
    </r>
    <r>
      <rPr>
        <i val="true"/>
        <sz val="9"/>
        <color rgb="FF7F8C8D"/>
        <rFont val="Arial"/>
        <family val="0"/>
        <charset val="1"/>
      </rPr>
      <t xml:space="preserve">Tier C </t>
    </r>
    <r>
      <rPr>
        <i val="true"/>
        <sz val="9"/>
        <color rgb="FF7F8C8D"/>
        <rFont val="DejaVu Sans"/>
        <family val="2"/>
      </rPr>
      <t xml:space="preserve">협의</t>
    </r>
    <r>
      <rPr>
        <i val="true"/>
        <sz val="9"/>
        <color rgb="FF7F8C8D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</si>
</sst>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\€#,##0"/>
    <numFmt numFmtId="167" formatCode="\€0.000"/>
    <numFmt numFmtId="168" formatCode="@"/>
    <numFmt numFmtId="169" formatCode="0.0"/>
    <numFmt numFmtId="170" formatCode="0"/>
    <numFmt numFmtId="171" formatCode="\€#,##0.00"/>
    <numFmt numFmtId="172" formatCode="\€0.00"/>
    <numFmt numFmtId="173" formatCode="#,##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DejaVu Sans"/>
      <family val="2"/>
    </font>
    <font>
      <i val="true"/>
      <sz val="9"/>
      <color rgb="FF7F8C8D"/>
      <name val="DejaVu Sans"/>
      <family val="2"/>
    </font>
    <font>
      <i val="true"/>
      <sz val="9"/>
      <color rgb="FF7F8C8D"/>
      <name val="Arial"/>
      <family val="0"/>
      <charset val="1"/>
    </font>
    <font>
      <b val="true"/>
      <sz val="14"/>
      <color rgb="FF2C3E50"/>
      <name val="DejaVu Sans"/>
      <family val="2"/>
    </font>
    <font>
      <b val="true"/>
      <sz val="11"/>
      <color rgb="FF2C3E50"/>
      <name val="Arial"/>
      <family val="0"/>
      <charset val="1"/>
    </font>
    <font>
      <b val="true"/>
      <sz val="11"/>
      <color rgb="FF2C3E50"/>
      <name val="DejaVu Sans"/>
      <family val="2"/>
    </font>
    <font>
      <b val="true"/>
      <sz val="20"/>
      <color rgb="FF2C3E50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sz val="11"/>
      <name val="DejaVu Sans"/>
      <family val="2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8"/>
      <color rgb="FF2C3E5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2C3E50"/>
      <name val="DejaVu Sans"/>
      <family val="2"/>
    </font>
    <font>
      <b val="true"/>
      <sz val="12"/>
      <color rgb="FF2C3E50"/>
      <name val="Arial"/>
      <family val="0"/>
      <charset val="1"/>
    </font>
    <font>
      <sz val="11"/>
      <color rgb="FF0000FF"/>
      <name val="DejaVu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ECF0F1"/>
        <bgColor rgb="FFD5F4E6"/>
      </patternFill>
    </fill>
    <fill>
      <patternFill patternType="solid">
        <fgColor rgb="FFFFE5CC"/>
        <bgColor rgb="FFFADBD8"/>
      </patternFill>
    </fill>
    <fill>
      <patternFill patternType="solid">
        <fgColor rgb="FFFADBD8"/>
        <bgColor rgb="FFFFE5CC"/>
      </patternFill>
    </fill>
    <fill>
      <patternFill patternType="solid">
        <fgColor rgb="FFFFF9C4"/>
        <bgColor rgb="FFFFE5CC"/>
      </patternFill>
    </fill>
    <fill>
      <patternFill patternType="solid">
        <fgColor rgb="FF34495E"/>
        <bgColor rgb="FF2C3E50"/>
      </patternFill>
    </fill>
    <fill>
      <patternFill patternType="solid">
        <fgColor rgb="FFD5F4E6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5F4E6"/>
        </patternFill>
      </fill>
    </dxf>
    <dxf>
      <fill>
        <patternFill>
          <bgColor rgb="FFFADB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FF9C4"/>
      <rgbColor rgb="FFD5F4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0F1"/>
      <rgbColor rgb="FFCCFFCC"/>
      <rgbColor rgb="FFFFE5CC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7.3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true" outlineLevel="0" collapsed="false">
      <c r="A5" s="4" t="s">
        <v>3</v>
      </c>
      <c r="B5" s="4"/>
      <c r="C5" s="4"/>
      <c r="D5" s="4" t="s">
        <v>4</v>
      </c>
      <c r="E5" s="4"/>
      <c r="F5" s="4"/>
    </row>
    <row r="6" customFormat="false" ht="30" hidden="false" customHeight="true" outlineLevel="0" collapsed="false">
      <c r="A6" s="5" t="n">
        <f aca="false">SUM(여행_기록!C5:C55)+SUM(이동_기록!D5:D85)</f>
        <v>200</v>
      </c>
      <c r="B6" s="5"/>
      <c r="C6" s="5"/>
      <c r="D6" s="6" t="n">
        <f aca="false">SUM(여행_기록!J5:J55)+SUM(이동_기록!H5:H85)</f>
        <v>50</v>
      </c>
      <c r="E6" s="6"/>
      <c r="F6" s="6"/>
    </row>
    <row r="8" customFormat="false" ht="15" hidden="false" customHeight="true" outlineLevel="0" collapsed="false">
      <c r="A8" s="4" t="s">
        <v>5</v>
      </c>
      <c r="B8" s="4"/>
      <c r="C8" s="4"/>
      <c r="D8" s="4" t="s">
        <v>6</v>
      </c>
      <c r="E8" s="4"/>
      <c r="F8" s="4"/>
    </row>
    <row r="9" customFormat="false" ht="30" hidden="false" customHeight="true" outlineLevel="0" collapsed="false">
      <c r="A9" s="6" t="n">
        <f aca="false">SUM(여행_기록!K5:K55)+SUM(이동_기록!I5:I85)</f>
        <v>113.023333333333</v>
      </c>
      <c r="B9" s="6"/>
      <c r="C9" s="6"/>
      <c r="D9" s="6" t="n">
        <f aca="false">SUM(여행_기록!M5:M55)+SUM(이동_기록!K5:K85)</f>
        <v>-63.0233333333333</v>
      </c>
      <c r="E9" s="6"/>
      <c r="F9" s="6"/>
    </row>
    <row r="11" customFormat="false" ht="15" hidden="false" customHeight="true" outlineLevel="0" collapsed="false">
      <c r="A11" s="4" t="s">
        <v>7</v>
      </c>
      <c r="B11" s="4"/>
      <c r="C11" s="4"/>
      <c r="D11" s="7" t="s">
        <v>8</v>
      </c>
      <c r="E11" s="7"/>
      <c r="F11" s="7"/>
    </row>
    <row r="12" customFormat="false" ht="30" hidden="false" customHeight="true" outlineLevel="0" collapsed="false">
      <c r="A12" s="6" t="n">
        <f aca="false">정비_영수증!B9</f>
        <v>0</v>
      </c>
      <c r="B12" s="6"/>
      <c r="C12" s="6"/>
      <c r="D12" s="6" t="str">
        <f aca="false">정비_영수증!B10</f>
        <v>항목</v>
      </c>
      <c r="E12" s="6"/>
      <c r="F12" s="6"/>
    </row>
    <row r="14" customFormat="false" ht="17.9" hidden="false" customHeight="false" outlineLevel="0" collapsed="false">
      <c r="A14" s="3" t="s">
        <v>9</v>
      </c>
      <c r="B14" s="3"/>
      <c r="C14" s="3"/>
      <c r="D14" s="3"/>
      <c r="E14" s="3"/>
      <c r="F14" s="3"/>
    </row>
    <row r="15" customFormat="false" ht="15" hidden="false" customHeight="true" outlineLevel="0" collapsed="false">
      <c r="A15" s="8" t="s">
        <v>10</v>
      </c>
      <c r="B15" s="8"/>
      <c r="C15" s="8"/>
      <c r="D15" s="9" t="n">
        <f aca="false">차량_정보!C38</f>
        <v>0.605116666666667</v>
      </c>
      <c r="E15" s="9"/>
      <c r="F15" s="9"/>
    </row>
    <row r="16" customFormat="false" ht="15" hidden="false" customHeight="true" outlineLevel="0" collapsed="false">
      <c r="A16" s="8" t="s">
        <v>11</v>
      </c>
      <c r="B16" s="8"/>
      <c r="C16" s="8"/>
      <c r="D16" s="9" t="n">
        <f aca="false">차량_정보!C39</f>
        <v>0.440116666666667</v>
      </c>
      <c r="E16" s="9"/>
      <c r="F16" s="9"/>
    </row>
    <row r="17" customFormat="false" ht="15" hidden="false" customHeight="true" outlineLevel="0" collapsed="false">
      <c r="A17" s="8" t="s">
        <v>12</v>
      </c>
      <c r="B17" s="8"/>
      <c r="C17" s="8"/>
      <c r="D17" s="9" t="n">
        <f aca="false">차량_정보!C28</f>
        <v>0.125</v>
      </c>
      <c r="E17" s="9"/>
      <c r="F17" s="9"/>
    </row>
    <row r="18" customFormat="false" ht="15" hidden="false" customHeight="true" outlineLevel="0" collapsed="false">
      <c r="A18" s="8" t="s">
        <v>13</v>
      </c>
      <c r="B18" s="8"/>
      <c r="C18" s="8"/>
      <c r="D18" s="10" t="n">
        <f aca="false">차량_정보!B16</f>
        <v>15</v>
      </c>
      <c r="E18" s="10"/>
      <c r="F18" s="10"/>
    </row>
    <row r="19" customFormat="false" ht="15" hidden="false" customHeight="true" outlineLevel="0" collapsed="false">
      <c r="A19" s="8" t="s">
        <v>14</v>
      </c>
      <c r="B19" s="8"/>
      <c r="C19" s="8"/>
      <c r="D19" s="10" t="n">
        <f aca="false">차량_정보!B17</f>
        <v>20</v>
      </c>
      <c r="E19" s="10"/>
      <c r="F19" s="10"/>
    </row>
    <row r="22" customFormat="false" ht="17.9" hidden="false" customHeight="false" outlineLevel="0" collapsed="false">
      <c r="A22" s="3" t="s">
        <v>15</v>
      </c>
      <c r="B22" s="3"/>
      <c r="C22" s="3"/>
      <c r="D22" s="3"/>
      <c r="E22" s="3"/>
      <c r="F22" s="3"/>
    </row>
    <row r="23" customFormat="false" ht="15" hidden="false" customHeight="true" outlineLevel="0" collapsed="false">
      <c r="A23" s="11" t="s">
        <v>16</v>
      </c>
      <c r="B23" s="11"/>
      <c r="C23" s="11"/>
      <c r="D23" s="12" t="n">
        <f aca="false">SUMIFS(여행_기록!M5:M55,여행_기록!I5:I55,1)</f>
        <v>-63.0233333333333</v>
      </c>
      <c r="E23" s="12"/>
      <c r="F23" s="12"/>
    </row>
    <row r="25" customFormat="false" ht="17.35" hidden="false" customHeight="false" outlineLevel="0" collapsed="false">
      <c r="A25" s="3" t="s">
        <v>17</v>
      </c>
      <c r="B25" s="3"/>
      <c r="C25" s="3"/>
      <c r="D25" s="3"/>
      <c r="E25" s="3"/>
      <c r="F25" s="3"/>
    </row>
    <row r="26" customFormat="false" ht="11.9" hidden="false" customHeight="false" outlineLevel="0" collapsed="false">
      <c r="A26" s="2" t="s">
        <v>18</v>
      </c>
      <c r="B26" s="2"/>
      <c r="C26" s="2"/>
      <c r="D26" s="2"/>
      <c r="E26" s="2"/>
      <c r="F26" s="2"/>
    </row>
    <row r="27" customFormat="false" ht="11.9" hidden="false" customHeight="false" outlineLevel="0" collapsed="false">
      <c r="A27" s="2" t="s">
        <v>19</v>
      </c>
      <c r="B27" s="2"/>
      <c r="C27" s="2"/>
      <c r="D27" s="2"/>
      <c r="E27" s="2"/>
      <c r="F27" s="2"/>
    </row>
    <row r="28" customFormat="false" ht="11.9" hidden="false" customHeight="false" outlineLevel="0" collapsed="false">
      <c r="A28" s="2" t="s">
        <v>20</v>
      </c>
      <c r="B28" s="2"/>
      <c r="C28" s="2"/>
      <c r="D28" s="2"/>
      <c r="E28" s="2"/>
      <c r="F28" s="2"/>
    </row>
    <row r="29" customFormat="false" ht="11.9" hidden="false" customHeight="false" outlineLevel="0" collapsed="false">
      <c r="A29" s="2" t="s">
        <v>21</v>
      </c>
      <c r="B29" s="2"/>
      <c r="C29" s="2"/>
      <c r="D29" s="2"/>
      <c r="E29" s="2"/>
      <c r="F29" s="2"/>
    </row>
    <row r="30" customFormat="false" ht="11.9" hidden="false" customHeight="false" outlineLevel="0" collapsed="false">
      <c r="A30" s="2" t="s">
        <v>22</v>
      </c>
      <c r="B30" s="2"/>
      <c r="C30" s="2"/>
      <c r="D30" s="2"/>
      <c r="E30" s="2"/>
      <c r="F30" s="2"/>
    </row>
  </sheetData>
  <mergeCells count="35">
    <mergeCell ref="A1:F1"/>
    <mergeCell ref="A2:F2"/>
    <mergeCell ref="A4:F4"/>
    <mergeCell ref="A5:C5"/>
    <mergeCell ref="D5:F5"/>
    <mergeCell ref="A6:C6"/>
    <mergeCell ref="D6:F6"/>
    <mergeCell ref="A8:C8"/>
    <mergeCell ref="D8:F8"/>
    <mergeCell ref="A9:C9"/>
    <mergeCell ref="D9:F9"/>
    <mergeCell ref="A11:C11"/>
    <mergeCell ref="D11:F11"/>
    <mergeCell ref="A12:C12"/>
    <mergeCell ref="D12:F12"/>
    <mergeCell ref="A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2:F22"/>
    <mergeCell ref="A23:C23"/>
    <mergeCell ref="D23:F23"/>
    <mergeCell ref="A25:F25"/>
    <mergeCell ref="A26:F26"/>
    <mergeCell ref="A27:F27"/>
    <mergeCell ref="A28:F28"/>
    <mergeCell ref="A29:F29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31.5" hidden="false" customHeight="true" outlineLevel="0" collapsed="false">
      <c r="A1" s="1" t="s">
        <v>23</v>
      </c>
      <c r="B1" s="1"/>
      <c r="C1" s="1"/>
      <c r="D1" s="1"/>
    </row>
    <row r="3" customFormat="false" ht="17.9" hidden="false" customHeight="false" outlineLevel="0" collapsed="false">
      <c r="A3" s="3" t="s">
        <v>24</v>
      </c>
      <c r="B3" s="3"/>
      <c r="C3" s="3"/>
      <c r="D3" s="3"/>
    </row>
    <row r="4" customFormat="false" ht="15" hidden="false" customHeight="false" outlineLevel="0" collapsed="false">
      <c r="A4" s="8" t="s">
        <v>25</v>
      </c>
      <c r="B4" s="13" t="s">
        <v>26</v>
      </c>
    </row>
    <row r="5" customFormat="false" ht="15" hidden="false" customHeight="false" outlineLevel="0" collapsed="false">
      <c r="A5" s="8" t="s">
        <v>27</v>
      </c>
      <c r="B5" s="14" t="n">
        <v>180000</v>
      </c>
    </row>
    <row r="6" customFormat="false" ht="15" hidden="false" customHeight="false" outlineLevel="0" collapsed="false">
      <c r="A6" s="8" t="s">
        <v>28</v>
      </c>
      <c r="B6" s="15" t="n">
        <v>3750</v>
      </c>
    </row>
    <row r="7" customFormat="false" ht="15" hidden="false" customHeight="false" outlineLevel="0" collapsed="false">
      <c r="A7" s="8" t="s">
        <v>29</v>
      </c>
      <c r="B7" s="16" t="n">
        <v>16</v>
      </c>
    </row>
    <row r="8" customFormat="false" ht="15" hidden="false" customHeight="false" outlineLevel="0" collapsed="false">
      <c r="A8" s="8" t="s">
        <v>30</v>
      </c>
      <c r="B8" s="17" t="n">
        <v>2</v>
      </c>
    </row>
    <row r="9" customFormat="false" ht="15" hidden="false" customHeight="false" outlineLevel="0" collapsed="false">
      <c r="A9" s="8" t="s">
        <v>31</v>
      </c>
      <c r="B9" s="15" t="n">
        <v>1297</v>
      </c>
    </row>
    <row r="10" customFormat="false" ht="15" hidden="false" customHeight="false" outlineLevel="0" collapsed="false">
      <c r="A10" s="8" t="s">
        <v>32</v>
      </c>
      <c r="B10" s="15" t="n">
        <v>280</v>
      </c>
    </row>
    <row r="11" customFormat="false" ht="15" hidden="false" customHeight="false" outlineLevel="0" collapsed="false">
      <c r="A11" s="18" t="s">
        <v>33</v>
      </c>
      <c r="B11" s="15" t="n">
        <v>56</v>
      </c>
    </row>
    <row r="12" customFormat="false" ht="15" hidden="false" customHeight="false" outlineLevel="0" collapsed="false">
      <c r="A12" s="8" t="s">
        <v>34</v>
      </c>
      <c r="B12" s="15" t="n">
        <v>2500</v>
      </c>
    </row>
    <row r="13" customFormat="false" ht="15" hidden="false" customHeight="false" outlineLevel="0" collapsed="false">
      <c r="A13" s="8" t="s">
        <v>35</v>
      </c>
      <c r="B13" s="15" t="n">
        <v>2000</v>
      </c>
    </row>
    <row r="14" customFormat="false" ht="15" hidden="false" customHeight="false" outlineLevel="0" collapsed="false">
      <c r="A14" s="8" t="s">
        <v>36</v>
      </c>
      <c r="B14" s="14" t="n">
        <v>120000</v>
      </c>
    </row>
    <row r="15" customFormat="false" ht="15" hidden="false" customHeight="false" outlineLevel="0" collapsed="false">
      <c r="A15" s="8" t="s">
        <v>37</v>
      </c>
      <c r="B15" s="14" t="n">
        <v>15000</v>
      </c>
    </row>
    <row r="16" customFormat="false" ht="15" hidden="false" customHeight="false" outlineLevel="0" collapsed="false">
      <c r="A16" s="8" t="s">
        <v>38</v>
      </c>
      <c r="B16" s="15" t="n">
        <v>15</v>
      </c>
    </row>
    <row r="17" customFormat="false" ht="15" hidden="false" customHeight="false" outlineLevel="0" collapsed="false">
      <c r="A17" s="8" t="s">
        <v>39</v>
      </c>
      <c r="B17" s="15" t="n">
        <v>20</v>
      </c>
    </row>
    <row r="18" customFormat="false" ht="15" hidden="false" customHeight="false" outlineLevel="0" collapsed="false">
      <c r="A18" s="8" t="s">
        <v>40</v>
      </c>
      <c r="B18" s="17" t="n">
        <v>0.04</v>
      </c>
    </row>
    <row r="19" customFormat="false" ht="15" hidden="false" customHeight="false" outlineLevel="0" collapsed="false">
      <c r="A19" s="8" t="s">
        <v>41</v>
      </c>
      <c r="B19" s="14" t="n">
        <v>4602</v>
      </c>
    </row>
    <row r="20" customFormat="false" ht="15" hidden="false" customHeight="false" outlineLevel="0" collapsed="false">
      <c r="A20" s="8" t="s">
        <v>42</v>
      </c>
      <c r="B20" s="14" t="n">
        <v>1826</v>
      </c>
    </row>
    <row r="21" customFormat="false" ht="15" hidden="false" customHeight="false" outlineLevel="0" collapsed="false">
      <c r="A21" s="8" t="s">
        <v>43</v>
      </c>
      <c r="B21" s="19" t="n">
        <v>7</v>
      </c>
    </row>
    <row r="22" customFormat="false" ht="15" hidden="false" customHeight="false" outlineLevel="0" collapsed="false">
      <c r="A22" s="8" t="s">
        <v>44</v>
      </c>
      <c r="B22" s="14" t="n">
        <v>645</v>
      </c>
    </row>
    <row r="23" customFormat="false" ht="15" hidden="false" customHeight="false" outlineLevel="0" collapsed="false">
      <c r="A23" s="8" t="s">
        <v>45</v>
      </c>
      <c r="B23" s="14" t="n">
        <v>1800</v>
      </c>
    </row>
    <row r="26" customFormat="false" ht="17.9" hidden="false" customHeight="false" outlineLevel="0" collapsed="false">
      <c r="A26" s="20" t="s">
        <v>46</v>
      </c>
      <c r="B26" s="20"/>
      <c r="C26" s="20"/>
      <c r="D26" s="20"/>
    </row>
    <row r="27" customFormat="false" ht="15" hidden="false" customHeight="false" outlineLevel="0" collapsed="false">
      <c r="A27" s="21" t="s">
        <v>47</v>
      </c>
      <c r="B27" s="21" t="s">
        <v>48</v>
      </c>
      <c r="C27" s="22" t="s">
        <v>49</v>
      </c>
      <c r="D27" s="21" t="s">
        <v>50</v>
      </c>
    </row>
    <row r="28" customFormat="false" ht="15" hidden="false" customHeight="false" outlineLevel="0" collapsed="false">
      <c r="A28" s="23" t="s">
        <v>51</v>
      </c>
      <c r="B28" s="24"/>
      <c r="C28" s="25" t="n">
        <f aca="false">B8/B7</f>
        <v>0.125</v>
      </c>
      <c r="D28" s="26" t="s">
        <v>52</v>
      </c>
    </row>
    <row r="29" customFormat="false" ht="15" hidden="false" customHeight="false" outlineLevel="0" collapsed="false">
      <c r="A29" s="23" t="s">
        <v>53</v>
      </c>
      <c r="B29" s="24"/>
      <c r="C29" s="25" t="n">
        <f aca="false">B18</f>
        <v>0.04</v>
      </c>
      <c r="D29" s="27" t="s">
        <v>54</v>
      </c>
    </row>
    <row r="30" customFormat="false" ht="15" hidden="false" customHeight="false" outlineLevel="0" collapsed="false">
      <c r="A30" s="23" t="s">
        <v>55</v>
      </c>
      <c r="B30" s="28" t="n">
        <f aca="false">B9</f>
        <v>1297</v>
      </c>
      <c r="C30" s="25" t="n">
        <f aca="false">B9/B15</f>
        <v>0.0864666666666667</v>
      </c>
      <c r="D30" s="27"/>
    </row>
    <row r="31" customFormat="false" ht="15" hidden="false" customHeight="false" outlineLevel="0" collapsed="false">
      <c r="A31" s="29" t="s">
        <v>56</v>
      </c>
      <c r="B31" s="28" t="n">
        <f aca="false">B10</f>
        <v>280</v>
      </c>
      <c r="C31" s="25" t="n">
        <f aca="false">B10/B15</f>
        <v>0.0186666666666667</v>
      </c>
      <c r="D31" s="27"/>
    </row>
    <row r="32" customFormat="false" ht="15" hidden="false" customHeight="false" outlineLevel="0" collapsed="false">
      <c r="A32" s="29" t="s">
        <v>57</v>
      </c>
      <c r="B32" s="28" t="n">
        <f aca="false">B11</f>
        <v>56</v>
      </c>
      <c r="C32" s="25" t="n">
        <f aca="false">B11/B15</f>
        <v>0.00373333333333333</v>
      </c>
      <c r="D32" s="27" t="s">
        <v>58</v>
      </c>
    </row>
    <row r="33" customFormat="false" ht="15" hidden="false" customHeight="false" outlineLevel="0" collapsed="false">
      <c r="A33" s="23" t="s">
        <v>59</v>
      </c>
      <c r="B33" s="28" t="n">
        <f aca="false">B12</f>
        <v>2500</v>
      </c>
      <c r="C33" s="25" t="n">
        <f aca="false">B12/B15</f>
        <v>0.166666666666667</v>
      </c>
      <c r="D33" s="27" t="s">
        <v>60</v>
      </c>
    </row>
    <row r="34" customFormat="false" ht="15" hidden="false" customHeight="false" outlineLevel="0" collapsed="false">
      <c r="A34" s="23" t="s">
        <v>61</v>
      </c>
      <c r="B34" s="28" t="n">
        <f aca="false">B13</f>
        <v>2000</v>
      </c>
      <c r="C34" s="25" t="n">
        <f aca="false">B13/B15</f>
        <v>0.133333333333333</v>
      </c>
      <c r="D34" s="26" t="s">
        <v>62</v>
      </c>
    </row>
    <row r="35" customFormat="false" ht="15" hidden="false" customHeight="false" outlineLevel="0" collapsed="false">
      <c r="A35" s="23" t="s">
        <v>63</v>
      </c>
      <c r="B35" s="24"/>
      <c r="C35" s="25" t="n">
        <f aca="false">B6/B14</f>
        <v>0.03125</v>
      </c>
      <c r="D35" s="27" t="s">
        <v>64</v>
      </c>
    </row>
    <row r="36" customFormat="false" ht="15" hidden="false" customHeight="false" outlineLevel="0" collapsed="false">
      <c r="A36" s="30" t="s">
        <v>65</v>
      </c>
      <c r="C36" s="9" t="n">
        <f aca="false">C28+C29</f>
        <v>0.165</v>
      </c>
      <c r="D36" s="31" t="s">
        <v>66</v>
      </c>
    </row>
    <row r="37" customFormat="false" ht="15" hidden="false" customHeight="false" outlineLevel="0" collapsed="false">
      <c r="A37" s="30" t="s">
        <v>67</v>
      </c>
      <c r="C37" s="9" t="n">
        <f aca="false">SUM(C30:C35)</f>
        <v>0.440116666666667</v>
      </c>
      <c r="D37" s="31" t="s">
        <v>68</v>
      </c>
    </row>
    <row r="38" customFormat="false" ht="15" hidden="false" customHeight="false" outlineLevel="0" collapsed="false">
      <c r="A38" s="32" t="s">
        <v>69</v>
      </c>
      <c r="C38" s="33" t="n">
        <f aca="false">C36+C37</f>
        <v>0.605116666666667</v>
      </c>
      <c r="D38" s="34"/>
    </row>
    <row r="39" customFormat="false" ht="15" hidden="false" customHeight="false" outlineLevel="0" collapsed="false">
      <c r="A39" s="30" t="s">
        <v>70</v>
      </c>
      <c r="C39" s="35" t="n">
        <f aca="false">C37</f>
        <v>0.440116666666667</v>
      </c>
      <c r="D39" s="31" t="s">
        <v>71</v>
      </c>
    </row>
  </sheetData>
  <mergeCells count="3">
    <mergeCell ref="A1:D1"/>
    <mergeCell ref="A3:D3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4" min="3" style="0" width="22"/>
    <col collapsed="false" customWidth="true" hidden="false" outlineLevel="0" max="5" min="5" style="0" width="35"/>
  </cols>
  <sheetData>
    <row r="1" customFormat="false" ht="31.5" hidden="false" customHeight="true" outlineLevel="0" collapsed="false">
      <c r="A1" s="1" t="s">
        <v>72</v>
      </c>
      <c r="B1" s="1"/>
      <c r="C1" s="1"/>
      <c r="D1" s="1"/>
      <c r="E1" s="1"/>
    </row>
    <row r="3" customFormat="false" ht="17.9" hidden="false" customHeight="false" outlineLevel="0" collapsed="false">
      <c r="A3" s="3" t="s">
        <v>73</v>
      </c>
      <c r="B3" s="3"/>
      <c r="C3" s="3"/>
      <c r="D3" s="3"/>
      <c r="E3" s="3"/>
    </row>
    <row r="4" customFormat="false" ht="15" hidden="false" customHeight="false" outlineLevel="0" collapsed="false">
      <c r="A4" s="21" t="s">
        <v>74</v>
      </c>
      <c r="B4" s="21" t="s">
        <v>75</v>
      </c>
      <c r="C4" s="22" t="s">
        <v>76</v>
      </c>
      <c r="D4" s="21" t="s">
        <v>77</v>
      </c>
      <c r="E4" s="21" t="s">
        <v>50</v>
      </c>
    </row>
    <row r="5" customFormat="false" ht="15" hidden="false" customHeight="false" outlineLevel="0" collapsed="false">
      <c r="A5" s="23" t="s">
        <v>78</v>
      </c>
      <c r="B5" s="36" t="n">
        <v>45</v>
      </c>
      <c r="C5" s="26" t="s">
        <v>79</v>
      </c>
      <c r="D5" s="37" t="n">
        <v>1.25</v>
      </c>
      <c r="E5" s="27" t="s">
        <v>80</v>
      </c>
    </row>
    <row r="6" customFormat="false" ht="15" hidden="false" customHeight="false" outlineLevel="0" collapsed="false">
      <c r="A6" s="23" t="s">
        <v>81</v>
      </c>
      <c r="B6" s="38" t="s">
        <v>82</v>
      </c>
      <c r="C6" s="27" t="s">
        <v>83</v>
      </c>
      <c r="D6" s="37" t="n">
        <v>1.5</v>
      </c>
      <c r="E6" s="26" t="s">
        <v>84</v>
      </c>
    </row>
    <row r="7" customFormat="false" ht="15" hidden="false" customHeight="false" outlineLevel="0" collapsed="false">
      <c r="A7" s="29" t="s">
        <v>85</v>
      </c>
      <c r="B7" s="36" t="n">
        <v>65</v>
      </c>
      <c r="C7" s="27" t="s">
        <v>83</v>
      </c>
      <c r="D7" s="37" t="n">
        <v>2</v>
      </c>
      <c r="E7" s="27"/>
    </row>
    <row r="8" customFormat="false" ht="15" hidden="false" customHeight="false" outlineLevel="0" collapsed="false">
      <c r="A8" s="29" t="s">
        <v>86</v>
      </c>
      <c r="B8" s="38" t="s">
        <v>87</v>
      </c>
      <c r="C8" s="27" t="s">
        <v>83</v>
      </c>
      <c r="D8" s="37" t="n">
        <v>2</v>
      </c>
      <c r="E8" s="27"/>
    </row>
    <row r="9" customFormat="false" ht="15" hidden="false" customHeight="false" outlineLevel="0" collapsed="false">
      <c r="A9" s="29" t="s">
        <v>88</v>
      </c>
      <c r="B9" s="36" t="n">
        <v>100</v>
      </c>
      <c r="C9" s="27" t="s">
        <v>83</v>
      </c>
      <c r="D9" s="37" t="n">
        <v>2.5</v>
      </c>
      <c r="E9" s="27"/>
    </row>
    <row r="10" customFormat="false" ht="15" hidden="false" customHeight="false" outlineLevel="0" collapsed="false">
      <c r="A10" s="29" t="s">
        <v>89</v>
      </c>
      <c r="B10" s="36" t="n">
        <v>100</v>
      </c>
      <c r="C10" s="27" t="s">
        <v>83</v>
      </c>
      <c r="D10" s="37" t="n">
        <v>2.5</v>
      </c>
      <c r="E10" s="27"/>
    </row>
    <row r="11" customFormat="false" ht="15" hidden="false" customHeight="false" outlineLevel="0" collapsed="false">
      <c r="A11" s="23" t="s">
        <v>90</v>
      </c>
      <c r="B11" s="39" t="s">
        <v>91</v>
      </c>
      <c r="C11" s="27" t="s">
        <v>83</v>
      </c>
      <c r="D11" s="37" t="s">
        <v>92</v>
      </c>
      <c r="E11" s="26" t="s">
        <v>93</v>
      </c>
    </row>
    <row r="12" customFormat="false" ht="15" hidden="false" customHeight="false" outlineLevel="0" collapsed="false">
      <c r="A12" s="23" t="s">
        <v>94</v>
      </c>
      <c r="B12" s="38" t="s">
        <v>95</v>
      </c>
      <c r="C12" s="27"/>
      <c r="D12" s="37"/>
      <c r="E12" s="27" t="s">
        <v>96</v>
      </c>
    </row>
    <row r="13" customFormat="false" ht="15" hidden="false" customHeight="false" outlineLevel="0" collapsed="false">
      <c r="A13" s="23" t="s">
        <v>97</v>
      </c>
      <c r="B13" s="38" t="s">
        <v>95</v>
      </c>
      <c r="C13" s="27"/>
      <c r="D13" s="37"/>
      <c r="E13" s="27"/>
    </row>
    <row r="14" customFormat="false" ht="15" hidden="false" customHeight="false" outlineLevel="0" collapsed="false">
      <c r="A14" s="23" t="s">
        <v>98</v>
      </c>
      <c r="B14" s="36" t="n">
        <v>40</v>
      </c>
      <c r="C14" s="26" t="s">
        <v>99</v>
      </c>
      <c r="D14" s="37" t="n">
        <v>1</v>
      </c>
      <c r="E14" s="27"/>
    </row>
    <row r="15" customFormat="false" ht="15" hidden="false" customHeight="false" outlineLevel="0" collapsed="false">
      <c r="A15" s="29" t="s">
        <v>100</v>
      </c>
      <c r="B15" s="36" t="n">
        <v>50</v>
      </c>
      <c r="C15" s="26" t="s">
        <v>101</v>
      </c>
      <c r="D15" s="37" t="n">
        <v>1.5</v>
      </c>
      <c r="E15" s="27" t="s">
        <v>102</v>
      </c>
    </row>
    <row r="16" customFormat="false" ht="15" hidden="false" customHeight="false" outlineLevel="0" collapsed="false">
      <c r="A16" s="29" t="s">
        <v>103</v>
      </c>
      <c r="B16" s="36" t="n">
        <v>60</v>
      </c>
      <c r="C16" s="27" t="s">
        <v>83</v>
      </c>
      <c r="D16" s="37" t="n">
        <v>1.75</v>
      </c>
      <c r="E16" s="27"/>
    </row>
    <row r="17" customFormat="false" ht="15" hidden="false" customHeight="false" outlineLevel="0" collapsed="false">
      <c r="A17" s="29" t="s">
        <v>104</v>
      </c>
      <c r="B17" s="36" t="n">
        <v>75</v>
      </c>
      <c r="C17" s="27" t="s">
        <v>83</v>
      </c>
      <c r="D17" s="37" t="n">
        <v>2</v>
      </c>
      <c r="E17" s="27"/>
    </row>
    <row r="18" customFormat="false" ht="15" hidden="false" customHeight="false" outlineLevel="0" collapsed="false">
      <c r="A18" s="29" t="s">
        <v>105</v>
      </c>
      <c r="B18" s="36" t="n">
        <v>100</v>
      </c>
      <c r="C18" s="27" t="s">
        <v>83</v>
      </c>
      <c r="D18" s="37" t="n">
        <v>2.5</v>
      </c>
      <c r="E18" s="27"/>
    </row>
    <row r="19" customFormat="false" ht="15" hidden="false" customHeight="false" outlineLevel="0" collapsed="false">
      <c r="A19" s="29" t="s">
        <v>106</v>
      </c>
      <c r="B19" s="39" t="s">
        <v>91</v>
      </c>
      <c r="C19" s="27" t="s">
        <v>83</v>
      </c>
      <c r="D19" s="37" t="s">
        <v>107</v>
      </c>
      <c r="E19" s="26" t="s">
        <v>108</v>
      </c>
    </row>
    <row r="20" customFormat="false" ht="15" hidden="false" customHeight="false" outlineLevel="0" collapsed="false">
      <c r="A20" s="29" t="s">
        <v>109</v>
      </c>
      <c r="B20" s="38" t="s">
        <v>110</v>
      </c>
      <c r="C20" s="27" t="s">
        <v>111</v>
      </c>
      <c r="D20" s="37" t="s">
        <v>112</v>
      </c>
      <c r="E20" s="27" t="s">
        <v>113</v>
      </c>
    </row>
    <row r="21" customFormat="false" ht="15" hidden="false" customHeight="false" outlineLevel="0" collapsed="false">
      <c r="A21" s="23" t="s">
        <v>114</v>
      </c>
      <c r="B21" s="36" t="n">
        <v>40</v>
      </c>
      <c r="C21" s="27" t="s">
        <v>83</v>
      </c>
      <c r="D21" s="37" t="n">
        <v>1.5</v>
      </c>
      <c r="E21" s="27"/>
    </row>
    <row r="22" customFormat="false" ht="15" hidden="false" customHeight="false" outlineLevel="0" collapsed="false">
      <c r="A22" s="23" t="s">
        <v>115</v>
      </c>
      <c r="B22" s="38" t="s">
        <v>116</v>
      </c>
      <c r="C22" s="27" t="s">
        <v>83</v>
      </c>
      <c r="D22" s="37" t="n">
        <v>4</v>
      </c>
      <c r="E22" s="27"/>
    </row>
    <row r="23" customFormat="false" ht="15" hidden="false" customHeight="false" outlineLevel="0" collapsed="false">
      <c r="A23" s="23" t="s">
        <v>117</v>
      </c>
      <c r="B23" s="38" t="s">
        <v>118</v>
      </c>
      <c r="C23" s="27" t="s">
        <v>83</v>
      </c>
      <c r="D23" s="37" t="n">
        <v>4</v>
      </c>
      <c r="E23" s="27"/>
    </row>
    <row r="24" customFormat="false" ht="15" hidden="false" customHeight="false" outlineLevel="0" collapsed="false">
      <c r="A24" s="23" t="s">
        <v>119</v>
      </c>
      <c r="B24" s="38" t="s">
        <v>120</v>
      </c>
      <c r="C24" s="27"/>
      <c r="D24" s="37"/>
      <c r="E24" s="26" t="s">
        <v>121</v>
      </c>
    </row>
    <row r="26" customFormat="false" ht="17.9" hidden="false" customHeight="false" outlineLevel="0" collapsed="false">
      <c r="A26" s="3" t="s">
        <v>122</v>
      </c>
      <c r="B26" s="3"/>
      <c r="C26" s="3"/>
      <c r="D26" s="3"/>
      <c r="E26" s="3"/>
    </row>
    <row r="27" customFormat="false" ht="15" hidden="false" customHeight="false" outlineLevel="0" collapsed="false">
      <c r="A27" s="21" t="s">
        <v>123</v>
      </c>
      <c r="B27" s="22" t="s">
        <v>124</v>
      </c>
      <c r="C27" s="22" t="s">
        <v>125</v>
      </c>
      <c r="D27" s="22" t="s">
        <v>126</v>
      </c>
      <c r="E27" s="21" t="s">
        <v>50</v>
      </c>
    </row>
    <row r="28" customFormat="false" ht="15" hidden="false" customHeight="false" outlineLevel="0" collapsed="false">
      <c r="A28" s="30" t="s">
        <v>127</v>
      </c>
      <c r="B28" s="40" t="n">
        <v>0.15</v>
      </c>
      <c r="C28" s="41" t="n">
        <f aca="false">B28*200</f>
        <v>30</v>
      </c>
      <c r="D28" s="41" t="n">
        <f aca="false">B28*200</f>
        <v>30</v>
      </c>
      <c r="E28" s="27" t="s">
        <v>128</v>
      </c>
    </row>
    <row r="29" customFormat="false" ht="15" hidden="false" customHeight="false" outlineLevel="0" collapsed="false">
      <c r="A29" s="30" t="s">
        <v>129</v>
      </c>
      <c r="B29" s="40" t="n">
        <v>0.2</v>
      </c>
      <c r="C29" s="41" t="n">
        <f aca="false">B29*200</f>
        <v>40</v>
      </c>
      <c r="D29" s="41" t="n">
        <f aca="false">B29*200</f>
        <v>40</v>
      </c>
      <c r="E29" s="27" t="s">
        <v>130</v>
      </c>
    </row>
    <row r="30" customFormat="false" ht="15" hidden="false" customHeight="false" outlineLevel="0" collapsed="false">
      <c r="A30" s="30" t="s">
        <v>131</v>
      </c>
      <c r="B30" s="40" t="n">
        <v>0.25</v>
      </c>
      <c r="C30" s="41" t="n">
        <f aca="false">B30*200</f>
        <v>50</v>
      </c>
      <c r="D30" s="41" t="n">
        <f aca="false">B30*200</f>
        <v>50</v>
      </c>
      <c r="E30" s="27" t="s">
        <v>132</v>
      </c>
    </row>
    <row r="32" customFormat="false" ht="15" hidden="false" customHeight="true" outlineLevel="0" collapsed="false">
      <c r="A32" s="42" t="s">
        <v>133</v>
      </c>
      <c r="B32" s="42"/>
      <c r="C32" s="42"/>
      <c r="D32" s="42"/>
      <c r="E32" s="42"/>
    </row>
    <row r="33" customFormat="false" ht="15" hidden="false" customHeight="true" outlineLevel="0" collapsed="false">
      <c r="A33" s="43" t="s">
        <v>134</v>
      </c>
      <c r="B33" s="43"/>
      <c r="C33" s="43"/>
      <c r="D33" s="43"/>
      <c r="E33" s="43"/>
    </row>
    <row r="34" customFormat="false" ht="15" hidden="false" customHeight="true" outlineLevel="0" collapsed="false">
      <c r="A34" s="44" t="s">
        <v>135</v>
      </c>
      <c r="B34" s="44"/>
      <c r="C34" s="44"/>
      <c r="D34" s="44"/>
      <c r="E34" s="44"/>
    </row>
    <row r="35" customFormat="false" ht="15" hidden="false" customHeight="true" outlineLevel="0" collapsed="false">
      <c r="A35" s="43" t="s">
        <v>136</v>
      </c>
      <c r="B35" s="43"/>
      <c r="C35" s="43"/>
      <c r="D35" s="43"/>
      <c r="E35" s="43"/>
    </row>
    <row r="36" customFormat="false" ht="15" hidden="false" customHeight="true" outlineLevel="0" collapsed="false">
      <c r="A36" s="43" t="s">
        <v>137</v>
      </c>
      <c r="B36" s="43"/>
      <c r="C36" s="43"/>
      <c r="D36" s="43"/>
      <c r="E36" s="43"/>
    </row>
    <row r="37" customFormat="false" ht="15" hidden="false" customHeight="false" outlineLevel="0" collapsed="false">
      <c r="A37" s="42"/>
      <c r="B37" s="42"/>
      <c r="C37" s="42"/>
      <c r="D37" s="42"/>
      <c r="E37" s="42"/>
    </row>
    <row r="38" customFormat="false" ht="15" hidden="false" customHeight="true" outlineLevel="0" collapsed="false">
      <c r="A38" s="45" t="s">
        <v>138</v>
      </c>
      <c r="B38" s="45"/>
      <c r="C38" s="45"/>
      <c r="D38" s="45"/>
      <c r="E38" s="45"/>
    </row>
    <row r="39" customFormat="false" ht="15" hidden="false" customHeight="true" outlineLevel="0" collapsed="false">
      <c r="A39" s="43" t="s">
        <v>139</v>
      </c>
      <c r="B39" s="43"/>
      <c r="C39" s="43"/>
      <c r="D39" s="43"/>
      <c r="E39" s="43"/>
    </row>
    <row r="40" customFormat="false" ht="15" hidden="false" customHeight="true" outlineLevel="0" collapsed="false">
      <c r="A40" s="44" t="s">
        <v>140</v>
      </c>
      <c r="B40" s="44"/>
      <c r="C40" s="44"/>
      <c r="D40" s="44"/>
      <c r="E40" s="44"/>
    </row>
    <row r="41" customFormat="false" ht="15" hidden="false" customHeight="true" outlineLevel="0" collapsed="false">
      <c r="A41" s="44" t="s">
        <v>141</v>
      </c>
      <c r="B41" s="44"/>
      <c r="C41" s="44"/>
      <c r="D41" s="44"/>
      <c r="E41" s="44"/>
    </row>
    <row r="42" customFormat="false" ht="15" hidden="false" customHeight="true" outlineLevel="0" collapsed="false">
      <c r="A42" s="44" t="s">
        <v>142</v>
      </c>
      <c r="B42" s="44"/>
      <c r="C42" s="44"/>
      <c r="D42" s="44"/>
      <c r="E42" s="44"/>
    </row>
    <row r="43" customFormat="false" ht="15" hidden="false" customHeight="true" outlineLevel="0" collapsed="false">
      <c r="A43" s="44" t="s">
        <v>143</v>
      </c>
      <c r="B43" s="44"/>
      <c r="C43" s="44"/>
      <c r="D43" s="44"/>
      <c r="E43" s="44"/>
    </row>
    <row r="44" customFormat="false" ht="15" hidden="false" customHeight="true" outlineLevel="0" collapsed="false">
      <c r="A44" s="44" t="s">
        <v>144</v>
      </c>
      <c r="B44" s="44"/>
      <c r="C44" s="44"/>
      <c r="D44" s="44"/>
      <c r="E44" s="44"/>
    </row>
    <row r="45" customFormat="false" ht="15" hidden="false" customHeight="false" outlineLevel="0" collapsed="false">
      <c r="A45" s="45"/>
      <c r="B45" s="45"/>
      <c r="C45" s="45"/>
      <c r="D45" s="45"/>
      <c r="E45" s="45"/>
    </row>
    <row r="46" customFormat="false" ht="15" hidden="false" customHeight="true" outlineLevel="0" collapsed="false">
      <c r="A46" s="42" t="s">
        <v>145</v>
      </c>
      <c r="B46" s="42"/>
      <c r="C46" s="42"/>
      <c r="D46" s="42"/>
      <c r="E46" s="42"/>
    </row>
    <row r="47" customFormat="false" ht="15" hidden="false" customHeight="true" outlineLevel="0" collapsed="false">
      <c r="A47" s="44" t="s">
        <v>146</v>
      </c>
      <c r="B47" s="44"/>
      <c r="C47" s="44"/>
      <c r="D47" s="44"/>
      <c r="E47" s="44"/>
    </row>
    <row r="48" customFormat="false" ht="15" hidden="false" customHeight="true" outlineLevel="0" collapsed="false">
      <c r="A48" s="44" t="s">
        <v>147</v>
      </c>
      <c r="B48" s="44"/>
      <c r="C48" s="44"/>
      <c r="D48" s="44"/>
      <c r="E48" s="44"/>
    </row>
    <row r="49" customFormat="false" ht="15" hidden="false" customHeight="true" outlineLevel="0" collapsed="false">
      <c r="A49" s="43" t="s">
        <v>148</v>
      </c>
      <c r="B49" s="43"/>
      <c r="C49" s="43"/>
      <c r="D49" s="43"/>
      <c r="E49" s="43"/>
    </row>
    <row r="50" customFormat="false" ht="15" hidden="false" customHeight="true" outlineLevel="0" collapsed="false">
      <c r="A50" s="43" t="s">
        <v>149</v>
      </c>
      <c r="B50" s="43"/>
      <c r="C50" s="43"/>
      <c r="D50" s="43"/>
      <c r="E50" s="43"/>
    </row>
    <row r="51" customFormat="false" ht="15" hidden="false" customHeight="false" outlineLevel="0" collapsed="false">
      <c r="A51" s="45"/>
      <c r="B51" s="45"/>
      <c r="C51" s="45"/>
      <c r="D51" s="45"/>
      <c r="E51" s="45"/>
    </row>
    <row r="52" customFormat="false" ht="15" hidden="false" customHeight="true" outlineLevel="0" collapsed="false">
      <c r="A52" s="42" t="s">
        <v>150</v>
      </c>
      <c r="B52" s="42"/>
      <c r="C52" s="42"/>
      <c r="D52" s="42"/>
      <c r="E52" s="42"/>
    </row>
    <row r="53" customFormat="false" ht="15" hidden="false" customHeight="true" outlineLevel="0" collapsed="false">
      <c r="A53" s="44" t="s">
        <v>151</v>
      </c>
      <c r="B53" s="44"/>
      <c r="C53" s="44"/>
      <c r="D53" s="44"/>
      <c r="E53" s="44"/>
    </row>
    <row r="54" customFormat="false" ht="15" hidden="false" customHeight="true" outlineLevel="0" collapsed="false">
      <c r="A54" s="43" t="s">
        <v>152</v>
      </c>
      <c r="B54" s="43"/>
      <c r="C54" s="43"/>
      <c r="D54" s="43"/>
      <c r="E54" s="43"/>
    </row>
    <row r="55" customFormat="false" ht="15" hidden="false" customHeight="true" outlineLevel="0" collapsed="false">
      <c r="A55" s="43" t="s">
        <v>153</v>
      </c>
      <c r="B55" s="43"/>
      <c r="C55" s="43"/>
      <c r="D55" s="43"/>
      <c r="E55" s="43"/>
    </row>
    <row r="56" customFormat="false" ht="15" hidden="false" customHeight="true" outlineLevel="0" collapsed="false">
      <c r="A56" s="44" t="s">
        <v>154</v>
      </c>
      <c r="B56" s="44"/>
      <c r="C56" s="44"/>
      <c r="D56" s="44"/>
      <c r="E56" s="44"/>
    </row>
  </sheetData>
  <mergeCells count="28">
    <mergeCell ref="A1:E1"/>
    <mergeCell ref="A3:E3"/>
    <mergeCell ref="A26:E26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3" min="11" style="0" width="14"/>
    <col collapsed="false" customWidth="true" hidden="false" outlineLevel="0" max="14" min="14" style="0" width="30"/>
  </cols>
  <sheetData>
    <row r="1" customFormat="false" ht="31.5" hidden="false" customHeight="true" outlineLevel="0" collapsed="false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156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21" t="s">
        <v>157</v>
      </c>
      <c r="B4" s="21" t="s">
        <v>158</v>
      </c>
      <c r="C4" s="22" t="s">
        <v>159</v>
      </c>
      <c r="D4" s="21" t="s">
        <v>160</v>
      </c>
      <c r="E4" s="21" t="s">
        <v>161</v>
      </c>
      <c r="F4" s="21" t="s">
        <v>162</v>
      </c>
      <c r="G4" s="21" t="s">
        <v>163</v>
      </c>
      <c r="H4" s="21" t="s">
        <v>164</v>
      </c>
      <c r="I4" s="21" t="s">
        <v>165</v>
      </c>
      <c r="J4" s="21" t="s">
        <v>166</v>
      </c>
      <c r="K4" s="21" t="s">
        <v>167</v>
      </c>
      <c r="L4" s="21" t="s">
        <v>75</v>
      </c>
      <c r="M4" s="21" t="s">
        <v>168</v>
      </c>
      <c r="N4" s="21" t="s">
        <v>50</v>
      </c>
    </row>
    <row r="5" customFormat="false" ht="15" hidden="false" customHeight="false" outlineLevel="0" collapsed="false">
      <c r="A5" s="46" t="s">
        <v>169</v>
      </c>
      <c r="B5" s="47" t="s">
        <v>170</v>
      </c>
      <c r="C5" s="14" t="n">
        <v>200</v>
      </c>
      <c r="D5" s="14" t="n">
        <v>6</v>
      </c>
      <c r="E5" s="48" t="n">
        <v>25</v>
      </c>
      <c r="F5" s="48" t="n">
        <v>0</v>
      </c>
      <c r="G5" s="48" t="n">
        <v>0</v>
      </c>
      <c r="H5" s="14" t="n">
        <v>4</v>
      </c>
      <c r="I5" s="14" t="n">
        <v>1</v>
      </c>
      <c r="J5" s="48" t="n">
        <v>50</v>
      </c>
      <c r="K5" s="28" t="n">
        <f aca="false">IF(C5="","",IF(E5="",C5*차량_정보!C28,E5)+IF(F5="",0,F5)+IF(G5="",0,G5)+C5*차량_정보!C39)</f>
        <v>113.023333333333</v>
      </c>
      <c r="L5" s="28" t="n">
        <f aca="false">IF(OR(C5="",H5="",I5=""),"",C5*CHOOSE(I5,0.15,0.2,0.25)*H5)</f>
        <v>120</v>
      </c>
      <c r="M5" s="28" t="n">
        <f aca="false">IF(OR(J5="",K5=""),"",J5-K5)</f>
        <v>-63.0233333333333</v>
      </c>
      <c r="N5" s="47" t="s">
        <v>171</v>
      </c>
    </row>
    <row r="6" customFormat="false" ht="15" hidden="false" customHeight="false" outlineLevel="0" collapsed="false">
      <c r="A6" s="46"/>
      <c r="B6" s="47"/>
      <c r="C6" s="14"/>
      <c r="D6" s="14"/>
      <c r="E6" s="48"/>
      <c r="F6" s="48"/>
      <c r="G6" s="48"/>
      <c r="H6" s="14"/>
      <c r="I6" s="14"/>
      <c r="J6" s="48"/>
      <c r="K6" s="28" t="str">
        <f aca="false">IF(C6="","",IF(E6="",C6*차량_정보!C28,E6)+IF(F6="",0,F6)+IF(G6="",0,G6)+C6*차량_정보!C39)</f>
        <v/>
      </c>
      <c r="L6" s="28" t="str">
        <f aca="false">IF(OR(C6="",H6="",I6=""),"",C6*CHOOSE(I6,0.15,0.2,0.25)*H6)</f>
        <v/>
      </c>
      <c r="M6" s="28" t="str">
        <f aca="false">IF(OR(J6="",K6=""),"",J6-K6)</f>
        <v/>
      </c>
      <c r="N6" s="47"/>
    </row>
    <row r="7" customFormat="false" ht="15" hidden="false" customHeight="false" outlineLevel="0" collapsed="false">
      <c r="A7" s="46"/>
      <c r="B7" s="47"/>
      <c r="C7" s="14"/>
      <c r="D7" s="14"/>
      <c r="E7" s="48"/>
      <c r="F7" s="48"/>
      <c r="G7" s="48"/>
      <c r="H7" s="14"/>
      <c r="I7" s="14"/>
      <c r="J7" s="48"/>
      <c r="K7" s="28" t="str">
        <f aca="false">IF(C7="","",IF(E7="",C7*차량_정보!C28,E7)+IF(F7="",0,F7)+IF(G7="",0,G7)+C7*차량_정보!C39)</f>
        <v/>
      </c>
      <c r="L7" s="28" t="str">
        <f aca="false">IF(OR(C7="",H7="",I7=""),"",C7*CHOOSE(I7,0.15,0.2,0.25)*H7)</f>
        <v/>
      </c>
      <c r="M7" s="28" t="str">
        <f aca="false">IF(OR(J7="",K7=""),"",J7-K7)</f>
        <v/>
      </c>
      <c r="N7" s="47"/>
    </row>
    <row r="8" customFormat="false" ht="15" hidden="false" customHeight="false" outlineLevel="0" collapsed="false">
      <c r="A8" s="46"/>
      <c r="B8" s="47"/>
      <c r="C8" s="14"/>
      <c r="D8" s="14"/>
      <c r="E8" s="48"/>
      <c r="F8" s="48"/>
      <c r="G8" s="48"/>
      <c r="H8" s="14"/>
      <c r="I8" s="14"/>
      <c r="J8" s="48"/>
      <c r="K8" s="28" t="str">
        <f aca="false">IF(C8="","",IF(E8="",C8*차량_정보!C28,E8)+IF(F8="",0,F8)+IF(G8="",0,G8)+C8*차량_정보!C39)</f>
        <v/>
      </c>
      <c r="L8" s="28" t="str">
        <f aca="false">IF(OR(C8="",H8="",I8=""),"",C8*CHOOSE(I8,0.15,0.2,0.25)*H8)</f>
        <v/>
      </c>
      <c r="M8" s="28" t="str">
        <f aca="false">IF(OR(J8="",K8=""),"",J8-K8)</f>
        <v/>
      </c>
      <c r="N8" s="47"/>
    </row>
    <row r="9" customFormat="false" ht="15" hidden="false" customHeight="false" outlineLevel="0" collapsed="false">
      <c r="A9" s="46"/>
      <c r="B9" s="47"/>
      <c r="C9" s="14"/>
      <c r="D9" s="14"/>
      <c r="E9" s="48"/>
      <c r="F9" s="48"/>
      <c r="G9" s="48"/>
      <c r="H9" s="14"/>
      <c r="I9" s="14"/>
      <c r="J9" s="48"/>
      <c r="K9" s="28" t="str">
        <f aca="false">IF(C9="","",IF(E9="",C9*차량_정보!C28,E9)+IF(F9="",0,F9)+IF(G9="",0,G9)+C9*차량_정보!C39)</f>
        <v/>
      </c>
      <c r="L9" s="28" t="str">
        <f aca="false">IF(OR(C9="",H9="",I9=""),"",C9*CHOOSE(I9,0.15,0.2,0.25)*H9)</f>
        <v/>
      </c>
      <c r="M9" s="28" t="str">
        <f aca="false">IF(OR(J9="",K9=""),"",J9-K9)</f>
        <v/>
      </c>
      <c r="N9" s="47"/>
    </row>
    <row r="10" customFormat="false" ht="15" hidden="false" customHeight="false" outlineLevel="0" collapsed="false">
      <c r="A10" s="46"/>
      <c r="B10" s="47"/>
      <c r="C10" s="14"/>
      <c r="D10" s="14"/>
      <c r="E10" s="48"/>
      <c r="F10" s="48"/>
      <c r="G10" s="48"/>
      <c r="H10" s="14"/>
      <c r="I10" s="14"/>
      <c r="J10" s="48"/>
      <c r="K10" s="28" t="str">
        <f aca="false">IF(C10="","",IF(E10="",C10*차량_정보!C28,E10)+IF(F10="",0,F10)+IF(G10="",0,G10)+C10*차량_정보!C39)</f>
        <v/>
      </c>
      <c r="L10" s="28" t="str">
        <f aca="false">IF(OR(C10="",H10="",I10=""),"",C10*CHOOSE(I10,0.15,0.2,0.25)*H10)</f>
        <v/>
      </c>
      <c r="M10" s="28" t="str">
        <f aca="false">IF(OR(J10="",K10=""),"",J10-K10)</f>
        <v/>
      </c>
      <c r="N10" s="47"/>
    </row>
    <row r="11" customFormat="false" ht="15" hidden="false" customHeight="false" outlineLevel="0" collapsed="false">
      <c r="A11" s="46"/>
      <c r="B11" s="47"/>
      <c r="C11" s="14"/>
      <c r="D11" s="14"/>
      <c r="E11" s="48"/>
      <c r="F11" s="48"/>
      <c r="G11" s="48"/>
      <c r="H11" s="14"/>
      <c r="I11" s="14"/>
      <c r="J11" s="48"/>
      <c r="K11" s="28" t="str">
        <f aca="false">IF(C11="","",IF(E11="",C11*차량_정보!C28,E11)+IF(F11="",0,F11)+IF(G11="",0,G11)+C11*차량_정보!C39)</f>
        <v/>
      </c>
      <c r="L11" s="28" t="str">
        <f aca="false">IF(OR(C11="",H11="",I11=""),"",C11*CHOOSE(I11,0.15,0.2,0.25)*H11)</f>
        <v/>
      </c>
      <c r="M11" s="28" t="str">
        <f aca="false">IF(OR(J11="",K11=""),"",J11-K11)</f>
        <v/>
      </c>
      <c r="N11" s="47"/>
    </row>
    <row r="12" customFormat="false" ht="15" hidden="false" customHeight="false" outlineLevel="0" collapsed="false">
      <c r="A12" s="46"/>
      <c r="B12" s="47"/>
      <c r="C12" s="14"/>
      <c r="D12" s="14"/>
      <c r="E12" s="48"/>
      <c r="F12" s="48"/>
      <c r="G12" s="48"/>
      <c r="H12" s="14"/>
      <c r="I12" s="14"/>
      <c r="J12" s="48"/>
      <c r="K12" s="28" t="str">
        <f aca="false">IF(C12="","",IF(E12="",C12*차량_정보!C28,E12)+IF(F12="",0,F12)+IF(G12="",0,G12)+C12*차량_정보!C39)</f>
        <v/>
      </c>
      <c r="L12" s="28" t="str">
        <f aca="false">IF(OR(C12="",H12="",I12=""),"",C12*CHOOSE(I12,0.15,0.2,0.25)*H12)</f>
        <v/>
      </c>
      <c r="M12" s="28" t="str">
        <f aca="false">IF(OR(J12="",K12=""),"",J12-K12)</f>
        <v/>
      </c>
      <c r="N12" s="47"/>
    </row>
    <row r="13" customFormat="false" ht="15" hidden="false" customHeight="false" outlineLevel="0" collapsed="false">
      <c r="A13" s="46"/>
      <c r="B13" s="47"/>
      <c r="C13" s="14"/>
      <c r="D13" s="14"/>
      <c r="E13" s="48"/>
      <c r="F13" s="48"/>
      <c r="G13" s="48"/>
      <c r="H13" s="14"/>
      <c r="I13" s="14"/>
      <c r="J13" s="48"/>
      <c r="K13" s="28" t="str">
        <f aca="false">IF(C13="","",IF(E13="",C13*차량_정보!C28,E13)+IF(F13="",0,F13)+IF(G13="",0,G13)+C13*차량_정보!C39)</f>
        <v/>
      </c>
      <c r="L13" s="28" t="str">
        <f aca="false">IF(OR(C13="",H13="",I13=""),"",C13*CHOOSE(I13,0.15,0.2,0.25)*H13)</f>
        <v/>
      </c>
      <c r="M13" s="28" t="str">
        <f aca="false">IF(OR(J13="",K13=""),"",J13-K13)</f>
        <v/>
      </c>
      <c r="N13" s="47"/>
    </row>
    <row r="14" customFormat="false" ht="15" hidden="false" customHeight="false" outlineLevel="0" collapsed="false">
      <c r="A14" s="46"/>
      <c r="B14" s="47"/>
      <c r="C14" s="14"/>
      <c r="D14" s="14"/>
      <c r="E14" s="48"/>
      <c r="F14" s="48"/>
      <c r="G14" s="48"/>
      <c r="H14" s="14"/>
      <c r="I14" s="14"/>
      <c r="J14" s="48"/>
      <c r="K14" s="28" t="str">
        <f aca="false">IF(C14="","",IF(E14="",C14*차량_정보!C28,E14)+IF(F14="",0,F14)+IF(G14="",0,G14)+C14*차량_정보!C39)</f>
        <v/>
      </c>
      <c r="L14" s="28" t="str">
        <f aca="false">IF(OR(C14="",H14="",I14=""),"",C14*CHOOSE(I14,0.15,0.2,0.25)*H14)</f>
        <v/>
      </c>
      <c r="M14" s="28" t="str">
        <f aca="false">IF(OR(J14="",K14=""),"",J14-K14)</f>
        <v/>
      </c>
      <c r="N14" s="47"/>
    </row>
    <row r="15" customFormat="false" ht="15" hidden="false" customHeight="false" outlineLevel="0" collapsed="false">
      <c r="A15" s="46"/>
      <c r="B15" s="47"/>
      <c r="C15" s="14"/>
      <c r="D15" s="14"/>
      <c r="E15" s="48"/>
      <c r="F15" s="48"/>
      <c r="G15" s="48"/>
      <c r="H15" s="14"/>
      <c r="I15" s="14"/>
      <c r="J15" s="48"/>
      <c r="K15" s="28" t="str">
        <f aca="false">IF(C15="","",IF(E15="",C15*차량_정보!C28,E15)+IF(F15="",0,F15)+IF(G15="",0,G15)+C15*차량_정보!C39)</f>
        <v/>
      </c>
      <c r="L15" s="28" t="str">
        <f aca="false">IF(OR(C15="",H15="",I15=""),"",C15*CHOOSE(I15,0.15,0.2,0.25)*H15)</f>
        <v/>
      </c>
      <c r="M15" s="28" t="str">
        <f aca="false">IF(OR(J15="",K15=""),"",J15-K15)</f>
        <v/>
      </c>
      <c r="N15" s="47"/>
    </row>
    <row r="16" customFormat="false" ht="15" hidden="false" customHeight="false" outlineLevel="0" collapsed="false">
      <c r="A16" s="46"/>
      <c r="B16" s="47"/>
      <c r="C16" s="14"/>
      <c r="D16" s="14"/>
      <c r="E16" s="48"/>
      <c r="F16" s="48"/>
      <c r="G16" s="48"/>
      <c r="H16" s="14"/>
      <c r="I16" s="14"/>
      <c r="J16" s="48"/>
      <c r="K16" s="28" t="str">
        <f aca="false">IF(C16="","",IF(E16="",C16*차량_정보!C28,E16)+IF(F16="",0,F16)+IF(G16="",0,G16)+C16*차량_정보!C39)</f>
        <v/>
      </c>
      <c r="L16" s="28" t="str">
        <f aca="false">IF(OR(C16="",H16="",I16=""),"",C16*CHOOSE(I16,0.15,0.2,0.25)*H16)</f>
        <v/>
      </c>
      <c r="M16" s="28" t="str">
        <f aca="false">IF(OR(J16="",K16=""),"",J16-K16)</f>
        <v/>
      </c>
      <c r="N16" s="47"/>
    </row>
    <row r="17" customFormat="false" ht="15" hidden="false" customHeight="false" outlineLevel="0" collapsed="false">
      <c r="A17" s="46"/>
      <c r="B17" s="47"/>
      <c r="C17" s="14"/>
      <c r="D17" s="14"/>
      <c r="E17" s="48"/>
      <c r="F17" s="48"/>
      <c r="G17" s="48"/>
      <c r="H17" s="14"/>
      <c r="I17" s="14"/>
      <c r="J17" s="48"/>
      <c r="K17" s="28" t="str">
        <f aca="false">IF(C17="","",IF(E17="",C17*차량_정보!C28,E17)+IF(F17="",0,F17)+IF(G17="",0,G17)+C17*차량_정보!C39)</f>
        <v/>
      </c>
      <c r="L17" s="28" t="str">
        <f aca="false">IF(OR(C17="",H17="",I17=""),"",C17*CHOOSE(I17,0.15,0.2,0.25)*H17)</f>
        <v/>
      </c>
      <c r="M17" s="28" t="str">
        <f aca="false">IF(OR(J17="",K17=""),"",J17-K17)</f>
        <v/>
      </c>
      <c r="N17" s="47"/>
    </row>
    <row r="18" customFormat="false" ht="15" hidden="false" customHeight="false" outlineLevel="0" collapsed="false">
      <c r="A18" s="46"/>
      <c r="B18" s="47"/>
      <c r="C18" s="14"/>
      <c r="D18" s="14"/>
      <c r="E18" s="48"/>
      <c r="F18" s="48"/>
      <c r="G18" s="48"/>
      <c r="H18" s="14"/>
      <c r="I18" s="14"/>
      <c r="J18" s="48"/>
      <c r="K18" s="28" t="str">
        <f aca="false">IF(C18="","",IF(E18="",C18*차량_정보!C28,E18)+IF(F18="",0,F18)+IF(G18="",0,G18)+C18*차량_정보!C39)</f>
        <v/>
      </c>
      <c r="L18" s="28" t="str">
        <f aca="false">IF(OR(C18="",H18="",I18=""),"",C18*CHOOSE(I18,0.15,0.2,0.25)*H18)</f>
        <v/>
      </c>
      <c r="M18" s="28" t="str">
        <f aca="false">IF(OR(J18="",K18=""),"",J18-K18)</f>
        <v/>
      </c>
      <c r="N18" s="47"/>
    </row>
    <row r="19" customFormat="false" ht="15" hidden="false" customHeight="false" outlineLevel="0" collapsed="false">
      <c r="A19" s="46"/>
      <c r="B19" s="47"/>
      <c r="C19" s="14"/>
      <c r="D19" s="14"/>
      <c r="E19" s="48"/>
      <c r="F19" s="48"/>
      <c r="G19" s="48"/>
      <c r="H19" s="14"/>
      <c r="I19" s="14"/>
      <c r="J19" s="48"/>
      <c r="K19" s="28" t="str">
        <f aca="false">IF(C19="","",IF(E19="",C19*차량_정보!C28,E19)+IF(F19="",0,F19)+IF(G19="",0,G19)+C19*차량_정보!C39)</f>
        <v/>
      </c>
      <c r="L19" s="28" t="str">
        <f aca="false">IF(OR(C19="",H19="",I19=""),"",C19*CHOOSE(I19,0.15,0.2,0.25)*H19)</f>
        <v/>
      </c>
      <c r="M19" s="28" t="str">
        <f aca="false">IF(OR(J19="",K19=""),"",J19-K19)</f>
        <v/>
      </c>
      <c r="N19" s="47"/>
    </row>
    <row r="20" customFormat="false" ht="15" hidden="false" customHeight="false" outlineLevel="0" collapsed="false">
      <c r="A20" s="46"/>
      <c r="B20" s="47"/>
      <c r="C20" s="14"/>
      <c r="D20" s="14"/>
      <c r="E20" s="48"/>
      <c r="F20" s="48"/>
      <c r="G20" s="48"/>
      <c r="H20" s="14"/>
      <c r="I20" s="14"/>
      <c r="J20" s="48"/>
      <c r="K20" s="28" t="str">
        <f aca="false">IF(C20="","",IF(E20="",C20*차량_정보!C28,E20)+IF(F20="",0,F20)+IF(G20="",0,G20)+C20*차량_정보!C39)</f>
        <v/>
      </c>
      <c r="L20" s="28" t="str">
        <f aca="false">IF(OR(C20="",H20="",I20=""),"",C20*CHOOSE(I20,0.15,0.2,0.25)*H20)</f>
        <v/>
      </c>
      <c r="M20" s="28" t="str">
        <f aca="false">IF(OR(J20="",K20=""),"",J20-K20)</f>
        <v/>
      </c>
      <c r="N20" s="47"/>
    </row>
    <row r="21" customFormat="false" ht="15" hidden="false" customHeight="false" outlineLevel="0" collapsed="false">
      <c r="A21" s="46"/>
      <c r="B21" s="47"/>
      <c r="C21" s="14"/>
      <c r="D21" s="14"/>
      <c r="E21" s="48"/>
      <c r="F21" s="48"/>
      <c r="G21" s="48"/>
      <c r="H21" s="14"/>
      <c r="I21" s="14"/>
      <c r="J21" s="48"/>
      <c r="K21" s="28" t="str">
        <f aca="false">IF(C21="","",IF(E21="",C21*차량_정보!C28,E21)+IF(F21="",0,F21)+IF(G21="",0,G21)+C21*차량_정보!C39)</f>
        <v/>
      </c>
      <c r="L21" s="28" t="str">
        <f aca="false">IF(OR(C21="",H21="",I21=""),"",C21*CHOOSE(I21,0.15,0.2,0.25)*H21)</f>
        <v/>
      </c>
      <c r="M21" s="28" t="str">
        <f aca="false">IF(OR(J21="",K21=""),"",J21-K21)</f>
        <v/>
      </c>
      <c r="N21" s="47"/>
    </row>
    <row r="22" customFormat="false" ht="15" hidden="false" customHeight="false" outlineLevel="0" collapsed="false">
      <c r="A22" s="46"/>
      <c r="B22" s="47"/>
      <c r="C22" s="14"/>
      <c r="D22" s="14"/>
      <c r="E22" s="48"/>
      <c r="F22" s="48"/>
      <c r="G22" s="48"/>
      <c r="H22" s="14"/>
      <c r="I22" s="14"/>
      <c r="J22" s="48"/>
      <c r="K22" s="28" t="str">
        <f aca="false">IF(C22="","",IF(E22="",C22*차량_정보!C28,E22)+IF(F22="",0,F22)+IF(G22="",0,G22)+C22*차량_정보!C39)</f>
        <v/>
      </c>
      <c r="L22" s="28" t="str">
        <f aca="false">IF(OR(C22="",H22="",I22=""),"",C22*CHOOSE(I22,0.15,0.2,0.25)*H22)</f>
        <v/>
      </c>
      <c r="M22" s="28" t="str">
        <f aca="false">IF(OR(J22="",K22=""),"",J22-K22)</f>
        <v/>
      </c>
      <c r="N22" s="47"/>
    </row>
    <row r="23" customFormat="false" ht="15" hidden="false" customHeight="false" outlineLevel="0" collapsed="false">
      <c r="A23" s="46"/>
      <c r="B23" s="47"/>
      <c r="C23" s="14"/>
      <c r="D23" s="14"/>
      <c r="E23" s="48"/>
      <c r="F23" s="48"/>
      <c r="G23" s="48"/>
      <c r="H23" s="14"/>
      <c r="I23" s="14"/>
      <c r="J23" s="48"/>
      <c r="K23" s="28" t="str">
        <f aca="false">IF(C23="","",IF(E23="",C23*차량_정보!C28,E23)+IF(F23="",0,F23)+IF(G23="",0,G23)+C23*차량_정보!C39)</f>
        <v/>
      </c>
      <c r="L23" s="28" t="str">
        <f aca="false">IF(OR(C23="",H23="",I23=""),"",C23*CHOOSE(I23,0.15,0.2,0.25)*H23)</f>
        <v/>
      </c>
      <c r="M23" s="28" t="str">
        <f aca="false">IF(OR(J23="",K23=""),"",J23-K23)</f>
        <v/>
      </c>
      <c r="N23" s="47"/>
    </row>
    <row r="24" customFormat="false" ht="15" hidden="false" customHeight="false" outlineLevel="0" collapsed="false">
      <c r="A24" s="46"/>
      <c r="B24" s="47"/>
      <c r="C24" s="14"/>
      <c r="D24" s="14"/>
      <c r="E24" s="48"/>
      <c r="F24" s="48"/>
      <c r="G24" s="48"/>
      <c r="H24" s="14"/>
      <c r="I24" s="14"/>
      <c r="J24" s="48"/>
      <c r="K24" s="28" t="str">
        <f aca="false">IF(C24="","",IF(E24="",C24*차량_정보!C28,E24)+IF(F24="",0,F24)+IF(G24="",0,G24)+C24*차량_정보!C39)</f>
        <v/>
      </c>
      <c r="L24" s="28" t="str">
        <f aca="false">IF(OR(C24="",H24="",I24=""),"",C24*CHOOSE(I24,0.15,0.2,0.25)*H24)</f>
        <v/>
      </c>
      <c r="M24" s="28" t="str">
        <f aca="false">IF(OR(J24="",K24=""),"",J24-K24)</f>
        <v/>
      </c>
      <c r="N24" s="47"/>
    </row>
    <row r="25" customFormat="false" ht="15" hidden="false" customHeight="false" outlineLevel="0" collapsed="false">
      <c r="A25" s="46"/>
      <c r="B25" s="47"/>
      <c r="C25" s="14"/>
      <c r="D25" s="14"/>
      <c r="E25" s="48"/>
      <c r="F25" s="48"/>
      <c r="G25" s="48"/>
      <c r="H25" s="14"/>
      <c r="I25" s="14"/>
      <c r="J25" s="48"/>
      <c r="K25" s="28" t="str">
        <f aca="false">IF(C25="","",IF(E25="",C25*차량_정보!C28,E25)+IF(F25="",0,F25)+IF(G25="",0,G25)+C25*차량_정보!C39)</f>
        <v/>
      </c>
      <c r="L25" s="28" t="str">
        <f aca="false">IF(OR(C25="",H25="",I25=""),"",C25*CHOOSE(I25,0.15,0.2,0.25)*H25)</f>
        <v/>
      </c>
      <c r="M25" s="28" t="str">
        <f aca="false">IF(OR(J25="",K25=""),"",J25-K25)</f>
        <v/>
      </c>
      <c r="N25" s="47"/>
    </row>
    <row r="26" customFormat="false" ht="15" hidden="false" customHeight="false" outlineLevel="0" collapsed="false">
      <c r="A26" s="46"/>
      <c r="B26" s="47"/>
      <c r="C26" s="14"/>
      <c r="D26" s="14"/>
      <c r="E26" s="48"/>
      <c r="F26" s="48"/>
      <c r="G26" s="48"/>
      <c r="H26" s="14"/>
      <c r="I26" s="14"/>
      <c r="J26" s="48"/>
      <c r="K26" s="28" t="str">
        <f aca="false">IF(C26="","",IF(E26="",C26*차량_정보!C28,E26)+IF(F26="",0,F26)+IF(G26="",0,G26)+C26*차량_정보!C39)</f>
        <v/>
      </c>
      <c r="L26" s="28" t="str">
        <f aca="false">IF(OR(C26="",H26="",I26=""),"",C26*CHOOSE(I26,0.15,0.2,0.25)*H26)</f>
        <v/>
      </c>
      <c r="M26" s="28" t="str">
        <f aca="false">IF(OR(J26="",K26=""),"",J26-K26)</f>
        <v/>
      </c>
      <c r="N26" s="47"/>
    </row>
    <row r="27" customFormat="false" ht="15" hidden="false" customHeight="false" outlineLevel="0" collapsed="false">
      <c r="A27" s="46"/>
      <c r="B27" s="47"/>
      <c r="C27" s="14"/>
      <c r="D27" s="14"/>
      <c r="E27" s="48"/>
      <c r="F27" s="48"/>
      <c r="G27" s="48"/>
      <c r="H27" s="14"/>
      <c r="I27" s="14"/>
      <c r="J27" s="48"/>
      <c r="K27" s="28" t="str">
        <f aca="false">IF(C27="","",IF(E27="",C27*차량_정보!C28,E27)+IF(F27="",0,F27)+IF(G27="",0,G27)+C27*차량_정보!C39)</f>
        <v/>
      </c>
      <c r="L27" s="28" t="str">
        <f aca="false">IF(OR(C27="",H27="",I27=""),"",C27*CHOOSE(I27,0.15,0.2,0.25)*H27)</f>
        <v/>
      </c>
      <c r="M27" s="28" t="str">
        <f aca="false">IF(OR(J27="",K27=""),"",J27-K27)</f>
        <v/>
      </c>
      <c r="N27" s="47"/>
    </row>
    <row r="28" customFormat="false" ht="15" hidden="false" customHeight="false" outlineLevel="0" collapsed="false">
      <c r="A28" s="46"/>
      <c r="B28" s="47"/>
      <c r="C28" s="14"/>
      <c r="D28" s="14"/>
      <c r="E28" s="48"/>
      <c r="F28" s="48"/>
      <c r="G28" s="48"/>
      <c r="H28" s="14"/>
      <c r="I28" s="14"/>
      <c r="J28" s="48"/>
      <c r="K28" s="28" t="str">
        <f aca="false">IF(C28="","",IF(E28="",C28*차량_정보!C28,E28)+IF(F28="",0,F28)+IF(G28="",0,G28)+C28*차량_정보!C39)</f>
        <v/>
      </c>
      <c r="L28" s="28" t="str">
        <f aca="false">IF(OR(C28="",H28="",I28=""),"",C28*CHOOSE(I28,0.15,0.2,0.25)*H28)</f>
        <v/>
      </c>
      <c r="M28" s="28" t="str">
        <f aca="false">IF(OR(J28="",K28=""),"",J28-K28)</f>
        <v/>
      </c>
      <c r="N28" s="47"/>
    </row>
    <row r="29" customFormat="false" ht="15" hidden="false" customHeight="false" outlineLevel="0" collapsed="false">
      <c r="A29" s="46"/>
      <c r="B29" s="47"/>
      <c r="C29" s="14"/>
      <c r="D29" s="14"/>
      <c r="E29" s="48"/>
      <c r="F29" s="48"/>
      <c r="G29" s="48"/>
      <c r="H29" s="14"/>
      <c r="I29" s="14"/>
      <c r="J29" s="48"/>
      <c r="K29" s="28" t="str">
        <f aca="false">IF(C29="","",IF(E29="",C29*차량_정보!C28,E29)+IF(F29="",0,F29)+IF(G29="",0,G29)+C29*차량_정보!C39)</f>
        <v/>
      </c>
      <c r="L29" s="28" t="str">
        <f aca="false">IF(OR(C29="",H29="",I29=""),"",C29*CHOOSE(I29,0.15,0.2,0.25)*H29)</f>
        <v/>
      </c>
      <c r="M29" s="28" t="str">
        <f aca="false">IF(OR(J29="",K29=""),"",J29-K29)</f>
        <v/>
      </c>
      <c r="N29" s="47"/>
    </row>
    <row r="30" customFormat="false" ht="15" hidden="false" customHeight="false" outlineLevel="0" collapsed="false">
      <c r="A30" s="46"/>
      <c r="B30" s="47"/>
      <c r="C30" s="14"/>
      <c r="D30" s="14"/>
      <c r="E30" s="48"/>
      <c r="F30" s="48"/>
      <c r="G30" s="48"/>
      <c r="H30" s="14"/>
      <c r="I30" s="14"/>
      <c r="J30" s="48"/>
      <c r="K30" s="28" t="str">
        <f aca="false">IF(C30="","",IF(E30="",C30*차량_정보!C28,E30)+IF(F30="",0,F30)+IF(G30="",0,G30)+C30*차량_정보!C39)</f>
        <v/>
      </c>
      <c r="L30" s="28" t="str">
        <f aca="false">IF(OR(C30="",H30="",I30=""),"",C30*CHOOSE(I30,0.15,0.2,0.25)*H30)</f>
        <v/>
      </c>
      <c r="M30" s="28" t="str">
        <f aca="false">IF(OR(J30="",K30=""),"",J30-K30)</f>
        <v/>
      </c>
      <c r="N30" s="47"/>
    </row>
    <row r="31" customFormat="false" ht="15" hidden="false" customHeight="false" outlineLevel="0" collapsed="false">
      <c r="A31" s="46"/>
      <c r="B31" s="47"/>
      <c r="C31" s="14"/>
      <c r="D31" s="14"/>
      <c r="E31" s="48"/>
      <c r="F31" s="48"/>
      <c r="G31" s="48"/>
      <c r="H31" s="14"/>
      <c r="I31" s="14"/>
      <c r="J31" s="48"/>
      <c r="K31" s="28" t="str">
        <f aca="false">IF(C31="","",IF(E31="",C31*차량_정보!C28,E31)+IF(F31="",0,F31)+IF(G31="",0,G31)+C31*차량_정보!C39)</f>
        <v/>
      </c>
      <c r="L31" s="28" t="str">
        <f aca="false">IF(OR(C31="",H31="",I31=""),"",C31*CHOOSE(I31,0.15,0.2,0.25)*H31)</f>
        <v/>
      </c>
      <c r="M31" s="28" t="str">
        <f aca="false">IF(OR(J31="",K31=""),"",J31-K31)</f>
        <v/>
      </c>
      <c r="N31" s="47"/>
    </row>
    <row r="32" customFormat="false" ht="15" hidden="false" customHeight="false" outlineLevel="0" collapsed="false">
      <c r="A32" s="46"/>
      <c r="B32" s="47"/>
      <c r="C32" s="14"/>
      <c r="D32" s="14"/>
      <c r="E32" s="48"/>
      <c r="F32" s="48"/>
      <c r="G32" s="48"/>
      <c r="H32" s="14"/>
      <c r="I32" s="14"/>
      <c r="J32" s="48"/>
      <c r="K32" s="28" t="str">
        <f aca="false">IF(C32="","",IF(E32="",C32*차량_정보!C28,E32)+IF(F32="",0,F32)+IF(G32="",0,G32)+C32*차량_정보!C39)</f>
        <v/>
      </c>
      <c r="L32" s="28" t="str">
        <f aca="false">IF(OR(C32="",H32="",I32=""),"",C32*CHOOSE(I32,0.15,0.2,0.25)*H32)</f>
        <v/>
      </c>
      <c r="M32" s="28" t="str">
        <f aca="false">IF(OR(J32="",K32=""),"",J32-K32)</f>
        <v/>
      </c>
      <c r="N32" s="47"/>
    </row>
    <row r="33" customFormat="false" ht="15" hidden="false" customHeight="false" outlineLevel="0" collapsed="false">
      <c r="A33" s="46"/>
      <c r="B33" s="47"/>
      <c r="C33" s="14"/>
      <c r="D33" s="14"/>
      <c r="E33" s="48"/>
      <c r="F33" s="48"/>
      <c r="G33" s="48"/>
      <c r="H33" s="14"/>
      <c r="I33" s="14"/>
      <c r="J33" s="48"/>
      <c r="K33" s="28" t="str">
        <f aca="false">IF(C33="","",IF(E33="",C33*차량_정보!C28,E33)+IF(F33="",0,F33)+IF(G33="",0,G33)+C33*차량_정보!C39)</f>
        <v/>
      </c>
      <c r="L33" s="28" t="str">
        <f aca="false">IF(OR(C33="",H33="",I33=""),"",C33*CHOOSE(I33,0.15,0.2,0.25)*H33)</f>
        <v/>
      </c>
      <c r="M33" s="28" t="str">
        <f aca="false">IF(OR(J33="",K33=""),"",J33-K33)</f>
        <v/>
      </c>
      <c r="N33" s="47"/>
    </row>
    <row r="34" customFormat="false" ht="15" hidden="false" customHeight="false" outlineLevel="0" collapsed="false">
      <c r="A34" s="46"/>
      <c r="B34" s="47"/>
      <c r="C34" s="14"/>
      <c r="D34" s="14"/>
      <c r="E34" s="48"/>
      <c r="F34" s="48"/>
      <c r="G34" s="48"/>
      <c r="H34" s="14"/>
      <c r="I34" s="14"/>
      <c r="J34" s="48"/>
      <c r="K34" s="28" t="str">
        <f aca="false">IF(C34="","",IF(E34="",C34*차량_정보!C28,E34)+IF(F34="",0,F34)+IF(G34="",0,G34)+C34*차량_정보!C39)</f>
        <v/>
      </c>
      <c r="L34" s="28" t="str">
        <f aca="false">IF(OR(C34="",H34="",I34=""),"",C34*CHOOSE(I34,0.15,0.2,0.25)*H34)</f>
        <v/>
      </c>
      <c r="M34" s="28" t="str">
        <f aca="false">IF(OR(J34="",K34=""),"",J34-K34)</f>
        <v/>
      </c>
      <c r="N34" s="47"/>
    </row>
    <row r="35" customFormat="false" ht="15" hidden="false" customHeight="false" outlineLevel="0" collapsed="false">
      <c r="A35" s="46"/>
      <c r="B35" s="47"/>
      <c r="C35" s="14"/>
      <c r="D35" s="14"/>
      <c r="E35" s="48"/>
      <c r="F35" s="48"/>
      <c r="G35" s="48"/>
      <c r="H35" s="14"/>
      <c r="I35" s="14"/>
      <c r="J35" s="48"/>
      <c r="K35" s="28" t="str">
        <f aca="false">IF(C35="","",IF(E35="",C35*차량_정보!C28,E35)+IF(F35="",0,F35)+IF(G35="",0,G35)+C35*차량_정보!C39)</f>
        <v/>
      </c>
      <c r="L35" s="28" t="str">
        <f aca="false">IF(OR(C35="",H35="",I35=""),"",C35*CHOOSE(I35,0.15,0.2,0.25)*H35)</f>
        <v/>
      </c>
      <c r="M35" s="28" t="str">
        <f aca="false">IF(OR(J35="",K35=""),"",J35-K35)</f>
        <v/>
      </c>
      <c r="N35" s="47"/>
    </row>
    <row r="36" customFormat="false" ht="15" hidden="false" customHeight="false" outlineLevel="0" collapsed="false">
      <c r="A36" s="46"/>
      <c r="B36" s="47"/>
      <c r="C36" s="14"/>
      <c r="D36" s="14"/>
      <c r="E36" s="48"/>
      <c r="F36" s="48"/>
      <c r="G36" s="48"/>
      <c r="H36" s="14"/>
      <c r="I36" s="14"/>
      <c r="J36" s="48"/>
      <c r="K36" s="28" t="str">
        <f aca="false">IF(C36="","",IF(E36="",C36*차량_정보!C28,E36)+IF(F36="",0,F36)+IF(G36="",0,G36)+C36*차량_정보!C39)</f>
        <v/>
      </c>
      <c r="L36" s="28" t="str">
        <f aca="false">IF(OR(C36="",H36="",I36=""),"",C36*CHOOSE(I36,0.15,0.2,0.25)*H36)</f>
        <v/>
      </c>
      <c r="M36" s="28" t="str">
        <f aca="false">IF(OR(J36="",K36=""),"",J36-K36)</f>
        <v/>
      </c>
      <c r="N36" s="47"/>
    </row>
    <row r="37" customFormat="false" ht="15" hidden="false" customHeight="false" outlineLevel="0" collapsed="false">
      <c r="A37" s="46"/>
      <c r="B37" s="47"/>
      <c r="C37" s="14"/>
      <c r="D37" s="14"/>
      <c r="E37" s="48"/>
      <c r="F37" s="48"/>
      <c r="G37" s="48"/>
      <c r="H37" s="14"/>
      <c r="I37" s="14"/>
      <c r="J37" s="48"/>
      <c r="K37" s="28" t="str">
        <f aca="false">IF(C37="","",IF(E37="",C37*차량_정보!C28,E37)+IF(F37="",0,F37)+IF(G37="",0,G37)+C37*차량_정보!C39)</f>
        <v/>
      </c>
      <c r="L37" s="28" t="str">
        <f aca="false">IF(OR(C37="",H37="",I37=""),"",C37*CHOOSE(I37,0.15,0.2,0.25)*H37)</f>
        <v/>
      </c>
      <c r="M37" s="28" t="str">
        <f aca="false">IF(OR(J37="",K37=""),"",J37-K37)</f>
        <v/>
      </c>
      <c r="N37" s="47"/>
    </row>
    <row r="38" customFormat="false" ht="15" hidden="false" customHeight="false" outlineLevel="0" collapsed="false">
      <c r="A38" s="46"/>
      <c r="B38" s="47"/>
      <c r="C38" s="14"/>
      <c r="D38" s="14"/>
      <c r="E38" s="48"/>
      <c r="F38" s="48"/>
      <c r="G38" s="48"/>
      <c r="H38" s="14"/>
      <c r="I38" s="14"/>
      <c r="J38" s="48"/>
      <c r="K38" s="28" t="str">
        <f aca="false">IF(C38="","",IF(E38="",C38*차량_정보!C28,E38)+IF(F38="",0,F38)+IF(G38="",0,G38)+C38*차량_정보!C39)</f>
        <v/>
      </c>
      <c r="L38" s="28" t="str">
        <f aca="false">IF(OR(C38="",H38="",I38=""),"",C38*CHOOSE(I38,0.15,0.2,0.25)*H38)</f>
        <v/>
      </c>
      <c r="M38" s="28" t="str">
        <f aca="false">IF(OR(J38="",K38=""),"",J38-K38)</f>
        <v/>
      </c>
      <c r="N38" s="47"/>
    </row>
    <row r="39" customFormat="false" ht="15" hidden="false" customHeight="false" outlineLevel="0" collapsed="false">
      <c r="A39" s="46"/>
      <c r="B39" s="47"/>
      <c r="C39" s="14"/>
      <c r="D39" s="14"/>
      <c r="E39" s="48"/>
      <c r="F39" s="48"/>
      <c r="G39" s="48"/>
      <c r="H39" s="14"/>
      <c r="I39" s="14"/>
      <c r="J39" s="48"/>
      <c r="K39" s="28" t="str">
        <f aca="false">IF(C39="","",IF(E39="",C39*차량_정보!C28,E39)+IF(F39="",0,F39)+IF(G39="",0,G39)+C39*차량_정보!C39)</f>
        <v/>
      </c>
      <c r="L39" s="28" t="str">
        <f aca="false">IF(OR(C39="",H39="",I39=""),"",C39*CHOOSE(I39,0.15,0.2,0.25)*H39)</f>
        <v/>
      </c>
      <c r="M39" s="28" t="str">
        <f aca="false">IF(OR(J39="",K39=""),"",J39-K39)</f>
        <v/>
      </c>
      <c r="N39" s="47"/>
    </row>
    <row r="40" customFormat="false" ht="15" hidden="false" customHeight="false" outlineLevel="0" collapsed="false">
      <c r="A40" s="46"/>
      <c r="B40" s="47"/>
      <c r="C40" s="14"/>
      <c r="D40" s="14"/>
      <c r="E40" s="48"/>
      <c r="F40" s="48"/>
      <c r="G40" s="48"/>
      <c r="H40" s="14"/>
      <c r="I40" s="14"/>
      <c r="J40" s="48"/>
      <c r="K40" s="28" t="str">
        <f aca="false">IF(C40="","",IF(E40="",C40*차량_정보!C28,E40)+IF(F40="",0,F40)+IF(G40="",0,G40)+C40*차량_정보!C39)</f>
        <v/>
      </c>
      <c r="L40" s="28" t="str">
        <f aca="false">IF(OR(C40="",H40="",I40=""),"",C40*CHOOSE(I40,0.15,0.2,0.25)*H40)</f>
        <v/>
      </c>
      <c r="M40" s="28" t="str">
        <f aca="false">IF(OR(J40="",K40=""),"",J40-K40)</f>
        <v/>
      </c>
      <c r="N40" s="47"/>
    </row>
    <row r="41" customFormat="false" ht="15" hidden="false" customHeight="false" outlineLevel="0" collapsed="false">
      <c r="A41" s="46"/>
      <c r="B41" s="47"/>
      <c r="C41" s="14"/>
      <c r="D41" s="14"/>
      <c r="E41" s="48"/>
      <c r="F41" s="48"/>
      <c r="G41" s="48"/>
      <c r="H41" s="14"/>
      <c r="I41" s="14"/>
      <c r="J41" s="48"/>
      <c r="K41" s="28" t="str">
        <f aca="false">IF(C41="","",IF(E41="",C41*차량_정보!C28,E41)+IF(F41="",0,F41)+IF(G41="",0,G41)+C41*차량_정보!C39)</f>
        <v/>
      </c>
      <c r="L41" s="28" t="str">
        <f aca="false">IF(OR(C41="",H41="",I41=""),"",C41*CHOOSE(I41,0.15,0.2,0.25)*H41)</f>
        <v/>
      </c>
      <c r="M41" s="28" t="str">
        <f aca="false">IF(OR(J41="",K41=""),"",J41-K41)</f>
        <v/>
      </c>
      <c r="N41" s="47"/>
    </row>
    <row r="42" customFormat="false" ht="15" hidden="false" customHeight="false" outlineLevel="0" collapsed="false">
      <c r="A42" s="46"/>
      <c r="B42" s="47"/>
      <c r="C42" s="14"/>
      <c r="D42" s="14"/>
      <c r="E42" s="48"/>
      <c r="F42" s="48"/>
      <c r="G42" s="48"/>
      <c r="H42" s="14"/>
      <c r="I42" s="14"/>
      <c r="J42" s="48"/>
      <c r="K42" s="28" t="str">
        <f aca="false">IF(C42="","",IF(E42="",C42*차량_정보!C28,E42)+IF(F42="",0,F42)+IF(G42="",0,G42)+C42*차량_정보!C39)</f>
        <v/>
      </c>
      <c r="L42" s="28" t="str">
        <f aca="false">IF(OR(C42="",H42="",I42=""),"",C42*CHOOSE(I42,0.15,0.2,0.25)*H42)</f>
        <v/>
      </c>
      <c r="M42" s="28" t="str">
        <f aca="false">IF(OR(J42="",K42=""),"",J42-K42)</f>
        <v/>
      </c>
      <c r="N42" s="47"/>
    </row>
    <row r="43" customFormat="false" ht="15" hidden="false" customHeight="false" outlineLevel="0" collapsed="false">
      <c r="A43" s="46"/>
      <c r="B43" s="47"/>
      <c r="C43" s="14"/>
      <c r="D43" s="14"/>
      <c r="E43" s="48"/>
      <c r="F43" s="48"/>
      <c r="G43" s="48"/>
      <c r="H43" s="14"/>
      <c r="I43" s="14"/>
      <c r="J43" s="48"/>
      <c r="K43" s="28" t="str">
        <f aca="false">IF(C43="","",IF(E43="",C43*차량_정보!C28,E43)+IF(F43="",0,F43)+IF(G43="",0,G43)+C43*차량_정보!C39)</f>
        <v/>
      </c>
      <c r="L43" s="28" t="str">
        <f aca="false">IF(OR(C43="",H43="",I43=""),"",C43*CHOOSE(I43,0.15,0.2,0.25)*H43)</f>
        <v/>
      </c>
      <c r="M43" s="28" t="str">
        <f aca="false">IF(OR(J43="",K43=""),"",J43-K43)</f>
        <v/>
      </c>
      <c r="N43" s="47"/>
    </row>
    <row r="44" customFormat="false" ht="15" hidden="false" customHeight="false" outlineLevel="0" collapsed="false">
      <c r="A44" s="46"/>
      <c r="B44" s="47"/>
      <c r="C44" s="14"/>
      <c r="D44" s="14"/>
      <c r="E44" s="48"/>
      <c r="F44" s="48"/>
      <c r="G44" s="48"/>
      <c r="H44" s="14"/>
      <c r="I44" s="14"/>
      <c r="J44" s="48"/>
      <c r="K44" s="28" t="str">
        <f aca="false">IF(C44="","",IF(E44="",C44*차량_정보!C28,E44)+IF(F44="",0,F44)+IF(G44="",0,G44)+C44*차량_정보!C39)</f>
        <v/>
      </c>
      <c r="L44" s="28" t="str">
        <f aca="false">IF(OR(C44="",H44="",I44=""),"",C44*CHOOSE(I44,0.15,0.2,0.25)*H44)</f>
        <v/>
      </c>
      <c r="M44" s="28" t="str">
        <f aca="false">IF(OR(J44="",K44=""),"",J44-K44)</f>
        <v/>
      </c>
      <c r="N44" s="47"/>
    </row>
    <row r="45" customFormat="false" ht="15" hidden="false" customHeight="false" outlineLevel="0" collapsed="false">
      <c r="A45" s="46"/>
      <c r="B45" s="47"/>
      <c r="C45" s="14"/>
      <c r="D45" s="14"/>
      <c r="E45" s="48"/>
      <c r="F45" s="48"/>
      <c r="G45" s="48"/>
      <c r="H45" s="14"/>
      <c r="I45" s="14"/>
      <c r="J45" s="48"/>
      <c r="K45" s="28" t="str">
        <f aca="false">IF(C45="","",IF(E45="",C45*차량_정보!C28,E45)+IF(F45="",0,F45)+IF(G45="",0,G45)+C45*차량_정보!C39)</f>
        <v/>
      </c>
      <c r="L45" s="28" t="str">
        <f aca="false">IF(OR(C45="",H45="",I45=""),"",C45*CHOOSE(I45,0.15,0.2,0.25)*H45)</f>
        <v/>
      </c>
      <c r="M45" s="28" t="str">
        <f aca="false">IF(OR(J45="",K45=""),"",J45-K45)</f>
        <v/>
      </c>
      <c r="N45" s="47"/>
    </row>
    <row r="46" customFormat="false" ht="15" hidden="false" customHeight="false" outlineLevel="0" collapsed="false">
      <c r="A46" s="46"/>
      <c r="B46" s="47"/>
      <c r="C46" s="14"/>
      <c r="D46" s="14"/>
      <c r="E46" s="48"/>
      <c r="F46" s="48"/>
      <c r="G46" s="48"/>
      <c r="H46" s="14"/>
      <c r="I46" s="14"/>
      <c r="J46" s="48"/>
      <c r="K46" s="28" t="str">
        <f aca="false">IF(C46="","",IF(E46="",C46*차량_정보!C28,E46)+IF(F46="",0,F46)+IF(G46="",0,G46)+C46*차량_정보!C39)</f>
        <v/>
      </c>
      <c r="L46" s="28" t="str">
        <f aca="false">IF(OR(C46="",H46="",I46=""),"",C46*CHOOSE(I46,0.15,0.2,0.25)*H46)</f>
        <v/>
      </c>
      <c r="M46" s="28" t="str">
        <f aca="false">IF(OR(J46="",K46=""),"",J46-K46)</f>
        <v/>
      </c>
      <c r="N46" s="47"/>
    </row>
    <row r="47" customFormat="false" ht="15" hidden="false" customHeight="false" outlineLevel="0" collapsed="false">
      <c r="A47" s="46"/>
      <c r="B47" s="47"/>
      <c r="C47" s="14"/>
      <c r="D47" s="14"/>
      <c r="E47" s="48"/>
      <c r="F47" s="48"/>
      <c r="G47" s="48"/>
      <c r="H47" s="14"/>
      <c r="I47" s="14"/>
      <c r="J47" s="48"/>
      <c r="K47" s="28" t="str">
        <f aca="false">IF(C47="","",IF(E47="",C47*차량_정보!C28,E47)+IF(F47="",0,F47)+IF(G47="",0,G47)+C47*차량_정보!C39)</f>
        <v/>
      </c>
      <c r="L47" s="28" t="str">
        <f aca="false">IF(OR(C47="",H47="",I47=""),"",C47*CHOOSE(I47,0.15,0.2,0.25)*H47)</f>
        <v/>
      </c>
      <c r="M47" s="28" t="str">
        <f aca="false">IF(OR(J47="",K47=""),"",J47-K47)</f>
        <v/>
      </c>
      <c r="N47" s="47"/>
    </row>
    <row r="48" customFormat="false" ht="15" hidden="false" customHeight="false" outlineLevel="0" collapsed="false">
      <c r="A48" s="46"/>
      <c r="B48" s="47"/>
      <c r="C48" s="14"/>
      <c r="D48" s="14"/>
      <c r="E48" s="48"/>
      <c r="F48" s="48"/>
      <c r="G48" s="48"/>
      <c r="H48" s="14"/>
      <c r="I48" s="14"/>
      <c r="J48" s="48"/>
      <c r="K48" s="28" t="str">
        <f aca="false">IF(C48="","",IF(E48="",C48*차량_정보!C28,E48)+IF(F48="",0,F48)+IF(G48="",0,G48)+C48*차량_정보!C39)</f>
        <v/>
      </c>
      <c r="L48" s="28" t="str">
        <f aca="false">IF(OR(C48="",H48="",I48=""),"",C48*CHOOSE(I48,0.15,0.2,0.25)*H48)</f>
        <v/>
      </c>
      <c r="M48" s="28" t="str">
        <f aca="false">IF(OR(J48="",K48=""),"",J48-K48)</f>
        <v/>
      </c>
      <c r="N48" s="47"/>
    </row>
    <row r="49" customFormat="false" ht="15" hidden="false" customHeight="false" outlineLevel="0" collapsed="false">
      <c r="A49" s="46"/>
      <c r="B49" s="47"/>
      <c r="C49" s="14"/>
      <c r="D49" s="14"/>
      <c r="E49" s="48"/>
      <c r="F49" s="48"/>
      <c r="G49" s="48"/>
      <c r="H49" s="14"/>
      <c r="I49" s="14"/>
      <c r="J49" s="48"/>
      <c r="K49" s="28" t="str">
        <f aca="false">IF(C49="","",IF(E49="",C49*차량_정보!C28,E49)+IF(F49="",0,F49)+IF(G49="",0,G49)+C49*차량_정보!C39)</f>
        <v/>
      </c>
      <c r="L49" s="28" t="str">
        <f aca="false">IF(OR(C49="",H49="",I49=""),"",C49*CHOOSE(I49,0.15,0.2,0.25)*H49)</f>
        <v/>
      </c>
      <c r="M49" s="28" t="str">
        <f aca="false">IF(OR(J49="",K49=""),"",J49-K49)</f>
        <v/>
      </c>
      <c r="N49" s="47"/>
    </row>
    <row r="50" customFormat="false" ht="15" hidden="false" customHeight="false" outlineLevel="0" collapsed="false">
      <c r="A50" s="46"/>
      <c r="B50" s="47"/>
      <c r="C50" s="14"/>
      <c r="D50" s="14"/>
      <c r="E50" s="48"/>
      <c r="F50" s="48"/>
      <c r="G50" s="48"/>
      <c r="H50" s="14"/>
      <c r="I50" s="14"/>
      <c r="J50" s="48"/>
      <c r="K50" s="28" t="str">
        <f aca="false">IF(C50="","",IF(E50="",C50*차량_정보!C28,E50)+IF(F50="",0,F50)+IF(G50="",0,G50)+C50*차량_정보!C39)</f>
        <v/>
      </c>
      <c r="L50" s="28" t="str">
        <f aca="false">IF(OR(C50="",H50="",I50=""),"",C50*CHOOSE(I50,0.15,0.2,0.25)*H50)</f>
        <v/>
      </c>
      <c r="M50" s="28" t="str">
        <f aca="false">IF(OR(J50="",K50=""),"",J50-K50)</f>
        <v/>
      </c>
      <c r="N50" s="47"/>
    </row>
    <row r="51" customFormat="false" ht="15" hidden="false" customHeight="false" outlineLevel="0" collapsed="false">
      <c r="A51" s="46"/>
      <c r="B51" s="47"/>
      <c r="C51" s="14"/>
      <c r="D51" s="14"/>
      <c r="E51" s="48"/>
      <c r="F51" s="48"/>
      <c r="G51" s="48"/>
      <c r="H51" s="14"/>
      <c r="I51" s="14"/>
      <c r="J51" s="48"/>
      <c r="K51" s="28" t="str">
        <f aca="false">IF(C51="","",IF(E51="",C51*차량_정보!C28,E51)+IF(F51="",0,F51)+IF(G51="",0,G51)+C51*차량_정보!C39)</f>
        <v/>
      </c>
      <c r="L51" s="28" t="str">
        <f aca="false">IF(OR(C51="",H51="",I51=""),"",C51*CHOOSE(I51,0.15,0.2,0.25)*H51)</f>
        <v/>
      </c>
      <c r="M51" s="28" t="str">
        <f aca="false">IF(OR(J51="",K51=""),"",J51-K51)</f>
        <v/>
      </c>
      <c r="N51" s="47"/>
    </row>
    <row r="52" customFormat="false" ht="15" hidden="false" customHeight="false" outlineLevel="0" collapsed="false">
      <c r="A52" s="46"/>
      <c r="B52" s="47"/>
      <c r="C52" s="14"/>
      <c r="D52" s="14"/>
      <c r="E52" s="48"/>
      <c r="F52" s="48"/>
      <c r="G52" s="48"/>
      <c r="H52" s="14"/>
      <c r="I52" s="14"/>
      <c r="J52" s="48"/>
      <c r="K52" s="28" t="str">
        <f aca="false">IF(C52="","",IF(E52="",C52*차량_정보!C28,E52)+IF(F52="",0,F52)+IF(G52="",0,G52)+C52*차량_정보!C39)</f>
        <v/>
      </c>
      <c r="L52" s="28" t="str">
        <f aca="false">IF(OR(C52="",H52="",I52=""),"",C52*CHOOSE(I52,0.15,0.2,0.25)*H52)</f>
        <v/>
      </c>
      <c r="M52" s="28" t="str">
        <f aca="false">IF(OR(J52="",K52=""),"",J52-K52)</f>
        <v/>
      </c>
      <c r="N52" s="47"/>
    </row>
    <row r="53" customFormat="false" ht="15" hidden="false" customHeight="false" outlineLevel="0" collapsed="false">
      <c r="A53" s="46"/>
      <c r="B53" s="47"/>
      <c r="C53" s="14"/>
      <c r="D53" s="14"/>
      <c r="E53" s="48"/>
      <c r="F53" s="48"/>
      <c r="G53" s="48"/>
      <c r="H53" s="14"/>
      <c r="I53" s="14"/>
      <c r="J53" s="48"/>
      <c r="K53" s="28" t="str">
        <f aca="false">IF(C53="","",IF(E53="",C53*차량_정보!C28,E53)+IF(F53="",0,F53)+IF(G53="",0,G53)+C53*차량_정보!C39)</f>
        <v/>
      </c>
      <c r="L53" s="28" t="str">
        <f aca="false">IF(OR(C53="",H53="",I53=""),"",C53*CHOOSE(I53,0.15,0.2,0.25)*H53)</f>
        <v/>
      </c>
      <c r="M53" s="28" t="str">
        <f aca="false">IF(OR(J53="",K53=""),"",J53-K53)</f>
        <v/>
      </c>
      <c r="N53" s="47"/>
    </row>
    <row r="54" customFormat="false" ht="15" hidden="false" customHeight="false" outlineLevel="0" collapsed="false">
      <c r="A54" s="46"/>
      <c r="B54" s="47"/>
      <c r="C54" s="14"/>
      <c r="D54" s="14"/>
      <c r="E54" s="48"/>
      <c r="F54" s="48"/>
      <c r="G54" s="48"/>
      <c r="H54" s="14"/>
      <c r="I54" s="14"/>
      <c r="J54" s="48"/>
      <c r="K54" s="28" t="str">
        <f aca="false">IF(C54="","",IF(E54="",C54*차량_정보!C28,E54)+IF(F54="",0,F54)+IF(G54="",0,G54)+C54*차량_정보!C39)</f>
        <v/>
      </c>
      <c r="L54" s="28" t="str">
        <f aca="false">IF(OR(C54="",H54="",I54=""),"",C54*CHOOSE(I54,0.15,0.2,0.25)*H54)</f>
        <v/>
      </c>
      <c r="M54" s="28" t="str">
        <f aca="false">IF(OR(J54="",K54=""),"",J54-K54)</f>
        <v/>
      </c>
      <c r="N54" s="47"/>
    </row>
    <row r="55" customFormat="false" ht="15" hidden="false" customHeight="false" outlineLevel="0" collapsed="false">
      <c r="A55" s="46"/>
      <c r="B55" s="47"/>
      <c r="C55" s="14"/>
      <c r="D55" s="14"/>
      <c r="E55" s="48"/>
      <c r="F55" s="48"/>
      <c r="G55" s="48"/>
      <c r="H55" s="14"/>
      <c r="I55" s="14"/>
      <c r="J55" s="48"/>
      <c r="K55" s="28" t="str">
        <f aca="false">IF(C55="","",IF(E55="",C55*차량_정보!C28,E55)+IF(F55="",0,F55)+IF(G55="",0,G55)+C55*차량_정보!C39)</f>
        <v/>
      </c>
      <c r="L55" s="28" t="str">
        <f aca="false">IF(OR(C55="",H55="",I55=""),"",C55*CHOOSE(I55,0.15,0.2,0.25)*H55)</f>
        <v/>
      </c>
      <c r="M55" s="28" t="str">
        <f aca="false">IF(OR(J55="",K55=""),"",J55-K55)</f>
        <v/>
      </c>
      <c r="N55" s="47"/>
    </row>
  </sheetData>
  <mergeCells count="2">
    <mergeCell ref="A1:N1"/>
    <mergeCell ref="A3:N3"/>
  </mergeCells>
  <conditionalFormatting sqref="M5:M5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11" min="9" style="0" width="14"/>
    <col collapsed="false" customWidth="true" hidden="false" outlineLevel="0" max="12" min="12" style="0" width="25"/>
  </cols>
  <sheetData>
    <row r="1" customFormat="false" ht="31.5" hidden="false" customHeight="true" outlineLevel="0" collapsed="false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2" t="s">
        <v>156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1" t="s">
        <v>157</v>
      </c>
      <c r="B4" s="21" t="s">
        <v>173</v>
      </c>
      <c r="C4" s="21" t="s">
        <v>174</v>
      </c>
      <c r="D4" s="22" t="s">
        <v>175</v>
      </c>
      <c r="E4" s="21" t="s">
        <v>160</v>
      </c>
      <c r="F4" s="21" t="s">
        <v>161</v>
      </c>
      <c r="G4" s="21" t="s">
        <v>162</v>
      </c>
      <c r="H4" s="21" t="s">
        <v>166</v>
      </c>
      <c r="I4" s="21" t="s">
        <v>167</v>
      </c>
      <c r="J4" s="21" t="s">
        <v>176</v>
      </c>
      <c r="K4" s="21" t="s">
        <v>177</v>
      </c>
      <c r="L4" s="21" t="s">
        <v>50</v>
      </c>
    </row>
    <row r="5" customFormat="false" ht="15" hidden="false" customHeight="false" outlineLevel="0" collapsed="false">
      <c r="A5" s="46"/>
      <c r="B5" s="47"/>
      <c r="C5" s="47"/>
      <c r="D5" s="49"/>
      <c r="E5" s="49"/>
      <c r="F5" s="48"/>
      <c r="G5" s="48"/>
      <c r="H5" s="48"/>
      <c r="I5" s="28" t="str">
        <f aca="false">IF(D5="","",IF(F5="",D5*차량_정보!C28,F5)+IF(G5="",0,G5)+D5*차량_정보!C39+IF(E5="",0,E5*차량_정보!B16))</f>
        <v/>
      </c>
      <c r="J5" s="28" t="str">
        <f aca="false">IF(OR(H5="",E5="",E5=0),"",H5/E5)</f>
        <v/>
      </c>
      <c r="K5" s="28" t="str">
        <f aca="false">IF(OR(H5="",I5=""),"",H5-I5)</f>
        <v/>
      </c>
      <c r="L5" s="47"/>
    </row>
    <row r="6" customFormat="false" ht="15" hidden="false" customHeight="false" outlineLevel="0" collapsed="false">
      <c r="A6" s="46"/>
      <c r="B6" s="47"/>
      <c r="C6" s="47"/>
      <c r="D6" s="49"/>
      <c r="E6" s="49"/>
      <c r="F6" s="48"/>
      <c r="G6" s="48"/>
      <c r="H6" s="48"/>
      <c r="I6" s="28" t="str">
        <f aca="false">IF(D6="","",IF(F6="",D6*차량_정보!C28,F6)+IF(G6="",0,G6)+D6*차량_정보!C39+IF(E6="",0,E6*차량_정보!B16))</f>
        <v/>
      </c>
      <c r="J6" s="28" t="str">
        <f aca="false">IF(OR(H6="",E6="",E6=0),"",H6/E6)</f>
        <v/>
      </c>
      <c r="K6" s="28" t="str">
        <f aca="false">IF(OR(H6="",I6=""),"",H6-I6)</f>
        <v/>
      </c>
      <c r="L6" s="47"/>
    </row>
    <row r="7" customFormat="false" ht="15" hidden="false" customHeight="false" outlineLevel="0" collapsed="false">
      <c r="A7" s="46"/>
      <c r="B7" s="47"/>
      <c r="C7" s="47"/>
      <c r="D7" s="49"/>
      <c r="E7" s="49"/>
      <c r="F7" s="48"/>
      <c r="G7" s="48"/>
      <c r="H7" s="48"/>
      <c r="I7" s="28" t="str">
        <f aca="false">IF(D7="","",IF(F7="",D7*차량_정보!C28,F7)+IF(G7="",0,G7)+D7*차량_정보!C39+IF(E7="",0,E7*차량_정보!B16))</f>
        <v/>
      </c>
      <c r="J7" s="28" t="str">
        <f aca="false">IF(OR(H7="",E7="",E7=0),"",H7/E7)</f>
        <v/>
      </c>
      <c r="K7" s="28" t="str">
        <f aca="false">IF(OR(H7="",I7=""),"",H7-I7)</f>
        <v/>
      </c>
      <c r="L7" s="47"/>
    </row>
    <row r="8" customFormat="false" ht="15" hidden="false" customHeight="false" outlineLevel="0" collapsed="false">
      <c r="A8" s="46"/>
      <c r="B8" s="47"/>
      <c r="C8" s="47"/>
      <c r="D8" s="49"/>
      <c r="E8" s="49"/>
      <c r="F8" s="48"/>
      <c r="G8" s="48"/>
      <c r="H8" s="48"/>
      <c r="I8" s="28" t="str">
        <f aca="false">IF(D8="","",IF(F8="",D8*차량_정보!C28,F8)+IF(G8="",0,G8)+D8*차량_정보!C39+IF(E8="",0,E8*차량_정보!B16))</f>
        <v/>
      </c>
      <c r="J8" s="28" t="str">
        <f aca="false">IF(OR(H8="",E8="",E8=0),"",H8/E8)</f>
        <v/>
      </c>
      <c r="K8" s="28" t="str">
        <f aca="false">IF(OR(H8="",I8=""),"",H8-I8)</f>
        <v/>
      </c>
      <c r="L8" s="47"/>
    </row>
    <row r="9" customFormat="false" ht="15" hidden="false" customHeight="false" outlineLevel="0" collapsed="false">
      <c r="A9" s="46"/>
      <c r="B9" s="47"/>
      <c r="C9" s="47"/>
      <c r="D9" s="49"/>
      <c r="E9" s="49"/>
      <c r="F9" s="48"/>
      <c r="G9" s="48"/>
      <c r="H9" s="48"/>
      <c r="I9" s="28" t="str">
        <f aca="false">IF(D9="","",IF(F9="",D9*차량_정보!C28,F9)+IF(G9="",0,G9)+D9*차량_정보!C39+IF(E9="",0,E9*차량_정보!B16))</f>
        <v/>
      </c>
      <c r="J9" s="28" t="str">
        <f aca="false">IF(OR(H9="",E9="",E9=0),"",H9/E9)</f>
        <v/>
      </c>
      <c r="K9" s="28" t="str">
        <f aca="false">IF(OR(H9="",I9=""),"",H9-I9)</f>
        <v/>
      </c>
      <c r="L9" s="47"/>
    </row>
    <row r="10" customFormat="false" ht="15" hidden="false" customHeight="false" outlineLevel="0" collapsed="false">
      <c r="A10" s="46"/>
      <c r="B10" s="47"/>
      <c r="C10" s="47"/>
      <c r="D10" s="49"/>
      <c r="E10" s="49"/>
      <c r="F10" s="48"/>
      <c r="G10" s="48"/>
      <c r="H10" s="48"/>
      <c r="I10" s="28" t="str">
        <f aca="false">IF(D10="","",IF(F10="",D10*차량_정보!C28,F10)+IF(G10="",0,G10)+D10*차량_정보!C39+IF(E10="",0,E10*차량_정보!B16))</f>
        <v/>
      </c>
      <c r="J10" s="28" t="str">
        <f aca="false">IF(OR(H10="",E10="",E10=0),"",H10/E10)</f>
        <v/>
      </c>
      <c r="K10" s="28" t="str">
        <f aca="false">IF(OR(H10="",I10=""),"",H10-I10)</f>
        <v/>
      </c>
      <c r="L10" s="47"/>
    </row>
    <row r="11" customFormat="false" ht="15" hidden="false" customHeight="false" outlineLevel="0" collapsed="false">
      <c r="A11" s="46"/>
      <c r="B11" s="47"/>
      <c r="C11" s="47"/>
      <c r="D11" s="49"/>
      <c r="E11" s="49"/>
      <c r="F11" s="48"/>
      <c r="G11" s="48"/>
      <c r="H11" s="48"/>
      <c r="I11" s="28" t="str">
        <f aca="false">IF(D11="","",IF(F11="",D11*차량_정보!C28,F11)+IF(G11="",0,G11)+D11*차량_정보!C39+IF(E11="",0,E11*차량_정보!B16))</f>
        <v/>
      </c>
      <c r="J11" s="28" t="str">
        <f aca="false">IF(OR(H11="",E11="",E11=0),"",H11/E11)</f>
        <v/>
      </c>
      <c r="K11" s="28" t="str">
        <f aca="false">IF(OR(H11="",I11=""),"",H11-I11)</f>
        <v/>
      </c>
      <c r="L11" s="47"/>
    </row>
    <row r="12" customFormat="false" ht="15" hidden="false" customHeight="false" outlineLevel="0" collapsed="false">
      <c r="A12" s="46"/>
      <c r="B12" s="47"/>
      <c r="C12" s="47"/>
      <c r="D12" s="49"/>
      <c r="E12" s="49"/>
      <c r="F12" s="48"/>
      <c r="G12" s="48"/>
      <c r="H12" s="48"/>
      <c r="I12" s="28" t="str">
        <f aca="false">IF(D12="","",IF(F12="",D12*차량_정보!C28,F12)+IF(G12="",0,G12)+D12*차량_정보!C39+IF(E12="",0,E12*차량_정보!B16))</f>
        <v/>
      </c>
      <c r="J12" s="28" t="str">
        <f aca="false">IF(OR(H12="",E12="",E12=0),"",H12/E12)</f>
        <v/>
      </c>
      <c r="K12" s="28" t="str">
        <f aca="false">IF(OR(H12="",I12=""),"",H12-I12)</f>
        <v/>
      </c>
      <c r="L12" s="47"/>
    </row>
    <row r="13" customFormat="false" ht="15" hidden="false" customHeight="false" outlineLevel="0" collapsed="false">
      <c r="A13" s="46"/>
      <c r="B13" s="47"/>
      <c r="C13" s="47"/>
      <c r="D13" s="49"/>
      <c r="E13" s="49"/>
      <c r="F13" s="48"/>
      <c r="G13" s="48"/>
      <c r="H13" s="48"/>
      <c r="I13" s="28" t="str">
        <f aca="false">IF(D13="","",IF(F13="",D13*차량_정보!C28,F13)+IF(G13="",0,G13)+D13*차량_정보!C39+IF(E13="",0,E13*차량_정보!B16))</f>
        <v/>
      </c>
      <c r="J13" s="28" t="str">
        <f aca="false">IF(OR(H13="",E13="",E13=0),"",H13/E13)</f>
        <v/>
      </c>
      <c r="K13" s="28" t="str">
        <f aca="false">IF(OR(H13="",I13=""),"",H13-I13)</f>
        <v/>
      </c>
      <c r="L13" s="47"/>
    </row>
    <row r="14" customFormat="false" ht="15" hidden="false" customHeight="false" outlineLevel="0" collapsed="false">
      <c r="A14" s="46"/>
      <c r="B14" s="47"/>
      <c r="C14" s="47"/>
      <c r="D14" s="49"/>
      <c r="E14" s="49"/>
      <c r="F14" s="48"/>
      <c r="G14" s="48"/>
      <c r="H14" s="48"/>
      <c r="I14" s="28" t="str">
        <f aca="false">IF(D14="","",IF(F14="",D14*차량_정보!C28,F14)+IF(G14="",0,G14)+D14*차량_정보!C39+IF(E14="",0,E14*차량_정보!B16))</f>
        <v/>
      </c>
      <c r="J14" s="28" t="str">
        <f aca="false">IF(OR(H14="",E14="",E14=0),"",H14/E14)</f>
        <v/>
      </c>
      <c r="K14" s="28" t="str">
        <f aca="false">IF(OR(H14="",I14=""),"",H14-I14)</f>
        <v/>
      </c>
      <c r="L14" s="47"/>
    </row>
    <row r="15" customFormat="false" ht="15" hidden="false" customHeight="false" outlineLevel="0" collapsed="false">
      <c r="A15" s="46"/>
      <c r="B15" s="47"/>
      <c r="C15" s="47"/>
      <c r="D15" s="49"/>
      <c r="E15" s="49"/>
      <c r="F15" s="48"/>
      <c r="G15" s="48"/>
      <c r="H15" s="48"/>
      <c r="I15" s="28" t="str">
        <f aca="false">IF(D15="","",IF(F15="",D15*차량_정보!C28,F15)+IF(G15="",0,G15)+D15*차량_정보!C39+IF(E15="",0,E15*차량_정보!B16))</f>
        <v/>
      </c>
      <c r="J15" s="28" t="str">
        <f aca="false">IF(OR(H15="",E15="",E15=0),"",H15/E15)</f>
        <v/>
      </c>
      <c r="K15" s="28" t="str">
        <f aca="false">IF(OR(H15="",I15=""),"",H15-I15)</f>
        <v/>
      </c>
      <c r="L15" s="47"/>
    </row>
    <row r="16" customFormat="false" ht="15" hidden="false" customHeight="false" outlineLevel="0" collapsed="false">
      <c r="A16" s="46"/>
      <c r="B16" s="47"/>
      <c r="C16" s="47"/>
      <c r="D16" s="49"/>
      <c r="E16" s="49"/>
      <c r="F16" s="48"/>
      <c r="G16" s="48"/>
      <c r="H16" s="48"/>
      <c r="I16" s="28" t="str">
        <f aca="false">IF(D16="","",IF(F16="",D16*차량_정보!C28,F16)+IF(G16="",0,G16)+D16*차량_정보!C39+IF(E16="",0,E16*차량_정보!B16))</f>
        <v/>
      </c>
      <c r="J16" s="28" t="str">
        <f aca="false">IF(OR(H16="",E16="",E16=0),"",H16/E16)</f>
        <v/>
      </c>
      <c r="K16" s="28" t="str">
        <f aca="false">IF(OR(H16="",I16=""),"",H16-I16)</f>
        <v/>
      </c>
      <c r="L16" s="47"/>
    </row>
    <row r="17" customFormat="false" ht="15" hidden="false" customHeight="false" outlineLevel="0" collapsed="false">
      <c r="A17" s="46"/>
      <c r="B17" s="47"/>
      <c r="C17" s="47"/>
      <c r="D17" s="49"/>
      <c r="E17" s="49"/>
      <c r="F17" s="48"/>
      <c r="G17" s="48"/>
      <c r="H17" s="48"/>
      <c r="I17" s="28" t="str">
        <f aca="false">IF(D17="","",IF(F17="",D17*차량_정보!C28,F17)+IF(G17="",0,G17)+D17*차량_정보!C39+IF(E17="",0,E17*차량_정보!B16))</f>
        <v/>
      </c>
      <c r="J17" s="28" t="str">
        <f aca="false">IF(OR(H17="",E17="",E17=0),"",H17/E17)</f>
        <v/>
      </c>
      <c r="K17" s="28" t="str">
        <f aca="false">IF(OR(H17="",I17=""),"",H17-I17)</f>
        <v/>
      </c>
      <c r="L17" s="47"/>
    </row>
    <row r="18" customFormat="false" ht="15" hidden="false" customHeight="false" outlineLevel="0" collapsed="false">
      <c r="A18" s="46"/>
      <c r="B18" s="47"/>
      <c r="C18" s="47"/>
      <c r="D18" s="49"/>
      <c r="E18" s="49"/>
      <c r="F18" s="48"/>
      <c r="G18" s="48"/>
      <c r="H18" s="48"/>
      <c r="I18" s="28" t="str">
        <f aca="false">IF(D18="","",IF(F18="",D18*차량_정보!C28,F18)+IF(G18="",0,G18)+D18*차량_정보!C39+IF(E18="",0,E18*차량_정보!B16))</f>
        <v/>
      </c>
      <c r="J18" s="28" t="str">
        <f aca="false">IF(OR(H18="",E18="",E18=0),"",H18/E18)</f>
        <v/>
      </c>
      <c r="K18" s="28" t="str">
        <f aca="false">IF(OR(H18="",I18=""),"",H18-I18)</f>
        <v/>
      </c>
      <c r="L18" s="47"/>
    </row>
    <row r="19" customFormat="false" ht="15" hidden="false" customHeight="false" outlineLevel="0" collapsed="false">
      <c r="A19" s="46"/>
      <c r="B19" s="47"/>
      <c r="C19" s="47"/>
      <c r="D19" s="49"/>
      <c r="E19" s="49"/>
      <c r="F19" s="48"/>
      <c r="G19" s="48"/>
      <c r="H19" s="48"/>
      <c r="I19" s="28" t="str">
        <f aca="false">IF(D19="","",IF(F19="",D19*차량_정보!C28,F19)+IF(G19="",0,G19)+D19*차량_정보!C39+IF(E19="",0,E19*차량_정보!B16))</f>
        <v/>
      </c>
      <c r="J19" s="28" t="str">
        <f aca="false">IF(OR(H19="",E19="",E19=0),"",H19/E19)</f>
        <v/>
      </c>
      <c r="K19" s="28" t="str">
        <f aca="false">IF(OR(H19="",I19=""),"",H19-I19)</f>
        <v/>
      </c>
      <c r="L19" s="47"/>
    </row>
    <row r="20" customFormat="false" ht="15" hidden="false" customHeight="false" outlineLevel="0" collapsed="false">
      <c r="A20" s="46"/>
      <c r="B20" s="47"/>
      <c r="C20" s="47"/>
      <c r="D20" s="49"/>
      <c r="E20" s="49"/>
      <c r="F20" s="48"/>
      <c r="G20" s="48"/>
      <c r="H20" s="48"/>
      <c r="I20" s="28" t="str">
        <f aca="false">IF(D20="","",IF(F20="",D20*차량_정보!C28,F20)+IF(G20="",0,G20)+D20*차량_정보!C39+IF(E20="",0,E20*차량_정보!B16))</f>
        <v/>
      </c>
      <c r="J20" s="28" t="str">
        <f aca="false">IF(OR(H20="",E20="",E20=0),"",H20/E20)</f>
        <v/>
      </c>
      <c r="K20" s="28" t="str">
        <f aca="false">IF(OR(H20="",I20=""),"",H20-I20)</f>
        <v/>
      </c>
      <c r="L20" s="47"/>
    </row>
    <row r="21" customFormat="false" ht="15" hidden="false" customHeight="false" outlineLevel="0" collapsed="false">
      <c r="A21" s="46"/>
      <c r="B21" s="47"/>
      <c r="C21" s="47"/>
      <c r="D21" s="49"/>
      <c r="E21" s="49"/>
      <c r="F21" s="48"/>
      <c r="G21" s="48"/>
      <c r="H21" s="48"/>
      <c r="I21" s="28" t="str">
        <f aca="false">IF(D21="","",IF(F21="",D21*차량_정보!C28,F21)+IF(G21="",0,G21)+D21*차량_정보!C39+IF(E21="",0,E21*차량_정보!B16))</f>
        <v/>
      </c>
      <c r="J21" s="28" t="str">
        <f aca="false">IF(OR(H21="",E21="",E21=0),"",H21/E21)</f>
        <v/>
      </c>
      <c r="K21" s="28" t="str">
        <f aca="false">IF(OR(H21="",I21=""),"",H21-I21)</f>
        <v/>
      </c>
      <c r="L21" s="47"/>
    </row>
    <row r="22" customFormat="false" ht="15" hidden="false" customHeight="false" outlineLevel="0" collapsed="false">
      <c r="A22" s="46"/>
      <c r="B22" s="47"/>
      <c r="C22" s="47"/>
      <c r="D22" s="49"/>
      <c r="E22" s="49"/>
      <c r="F22" s="48"/>
      <c r="G22" s="48"/>
      <c r="H22" s="48"/>
      <c r="I22" s="28" t="str">
        <f aca="false">IF(D22="","",IF(F22="",D22*차량_정보!C28,F22)+IF(G22="",0,G22)+D22*차량_정보!C39+IF(E22="",0,E22*차량_정보!B16))</f>
        <v/>
      </c>
      <c r="J22" s="28" t="str">
        <f aca="false">IF(OR(H22="",E22="",E22=0),"",H22/E22)</f>
        <v/>
      </c>
      <c r="K22" s="28" t="str">
        <f aca="false">IF(OR(H22="",I22=""),"",H22-I22)</f>
        <v/>
      </c>
      <c r="L22" s="47"/>
    </row>
    <row r="23" customFormat="false" ht="15" hidden="false" customHeight="false" outlineLevel="0" collapsed="false">
      <c r="A23" s="46"/>
      <c r="B23" s="47"/>
      <c r="C23" s="47"/>
      <c r="D23" s="49"/>
      <c r="E23" s="49"/>
      <c r="F23" s="48"/>
      <c r="G23" s="48"/>
      <c r="H23" s="48"/>
      <c r="I23" s="28" t="str">
        <f aca="false">IF(D23="","",IF(F23="",D23*차량_정보!C28,F23)+IF(G23="",0,G23)+D23*차량_정보!C39+IF(E23="",0,E23*차량_정보!B16))</f>
        <v/>
      </c>
      <c r="J23" s="28" t="str">
        <f aca="false">IF(OR(H23="",E23="",E23=0),"",H23/E23)</f>
        <v/>
      </c>
      <c r="K23" s="28" t="str">
        <f aca="false">IF(OR(H23="",I23=""),"",H23-I23)</f>
        <v/>
      </c>
      <c r="L23" s="47"/>
    </row>
    <row r="24" customFormat="false" ht="15" hidden="false" customHeight="false" outlineLevel="0" collapsed="false">
      <c r="A24" s="46"/>
      <c r="B24" s="47"/>
      <c r="C24" s="47"/>
      <c r="D24" s="49"/>
      <c r="E24" s="49"/>
      <c r="F24" s="48"/>
      <c r="G24" s="48"/>
      <c r="H24" s="48"/>
      <c r="I24" s="28" t="str">
        <f aca="false">IF(D24="","",IF(F24="",D24*차량_정보!C28,F24)+IF(G24="",0,G24)+D24*차량_정보!C39+IF(E24="",0,E24*차량_정보!B16))</f>
        <v/>
      </c>
      <c r="J24" s="28" t="str">
        <f aca="false">IF(OR(H24="",E24="",E24=0),"",H24/E24)</f>
        <v/>
      </c>
      <c r="K24" s="28" t="str">
        <f aca="false">IF(OR(H24="",I24=""),"",H24-I24)</f>
        <v/>
      </c>
      <c r="L24" s="47"/>
    </row>
    <row r="25" customFormat="false" ht="15" hidden="false" customHeight="false" outlineLevel="0" collapsed="false">
      <c r="A25" s="46"/>
      <c r="B25" s="47"/>
      <c r="C25" s="47"/>
      <c r="D25" s="49"/>
      <c r="E25" s="49"/>
      <c r="F25" s="48"/>
      <c r="G25" s="48"/>
      <c r="H25" s="48"/>
      <c r="I25" s="28" t="str">
        <f aca="false">IF(D25="","",IF(F25="",D25*차량_정보!C28,F25)+IF(G25="",0,G25)+D25*차량_정보!C39+IF(E25="",0,E25*차량_정보!B16))</f>
        <v/>
      </c>
      <c r="J25" s="28" t="str">
        <f aca="false">IF(OR(H25="",E25="",E25=0),"",H25/E25)</f>
        <v/>
      </c>
      <c r="K25" s="28" t="str">
        <f aca="false">IF(OR(H25="",I25=""),"",H25-I25)</f>
        <v/>
      </c>
      <c r="L25" s="47"/>
    </row>
    <row r="26" customFormat="false" ht="15" hidden="false" customHeight="false" outlineLevel="0" collapsed="false">
      <c r="A26" s="46"/>
      <c r="B26" s="47"/>
      <c r="C26" s="47"/>
      <c r="D26" s="49"/>
      <c r="E26" s="49"/>
      <c r="F26" s="48"/>
      <c r="G26" s="48"/>
      <c r="H26" s="48"/>
      <c r="I26" s="28" t="str">
        <f aca="false">IF(D26="","",IF(F26="",D26*차량_정보!C28,F26)+IF(G26="",0,G26)+D26*차량_정보!C39+IF(E26="",0,E26*차량_정보!B16))</f>
        <v/>
      </c>
      <c r="J26" s="28" t="str">
        <f aca="false">IF(OR(H26="",E26="",E26=0),"",H26/E26)</f>
        <v/>
      </c>
      <c r="K26" s="28" t="str">
        <f aca="false">IF(OR(H26="",I26=""),"",H26-I26)</f>
        <v/>
      </c>
      <c r="L26" s="47"/>
    </row>
    <row r="27" customFormat="false" ht="15" hidden="false" customHeight="false" outlineLevel="0" collapsed="false">
      <c r="A27" s="46"/>
      <c r="B27" s="47"/>
      <c r="C27" s="47"/>
      <c r="D27" s="49"/>
      <c r="E27" s="49"/>
      <c r="F27" s="48"/>
      <c r="G27" s="48"/>
      <c r="H27" s="48"/>
      <c r="I27" s="28" t="str">
        <f aca="false">IF(D27="","",IF(F27="",D27*차량_정보!C28,F27)+IF(G27="",0,G27)+D27*차량_정보!C39+IF(E27="",0,E27*차량_정보!B16))</f>
        <v/>
      </c>
      <c r="J27" s="28" t="str">
        <f aca="false">IF(OR(H27="",E27="",E27=0),"",H27/E27)</f>
        <v/>
      </c>
      <c r="K27" s="28" t="str">
        <f aca="false">IF(OR(H27="",I27=""),"",H27-I27)</f>
        <v/>
      </c>
      <c r="L27" s="47"/>
    </row>
    <row r="28" customFormat="false" ht="15" hidden="false" customHeight="false" outlineLevel="0" collapsed="false">
      <c r="A28" s="46"/>
      <c r="B28" s="47"/>
      <c r="C28" s="47"/>
      <c r="D28" s="49"/>
      <c r="E28" s="49"/>
      <c r="F28" s="48"/>
      <c r="G28" s="48"/>
      <c r="H28" s="48"/>
      <c r="I28" s="28" t="str">
        <f aca="false">IF(D28="","",IF(F28="",D28*차량_정보!C28,F28)+IF(G28="",0,G28)+D28*차량_정보!C39+IF(E28="",0,E28*차량_정보!B16))</f>
        <v/>
      </c>
      <c r="J28" s="28" t="str">
        <f aca="false">IF(OR(H28="",E28="",E28=0),"",H28/E28)</f>
        <v/>
      </c>
      <c r="K28" s="28" t="str">
        <f aca="false">IF(OR(H28="",I28=""),"",H28-I28)</f>
        <v/>
      </c>
      <c r="L28" s="47"/>
    </row>
    <row r="29" customFormat="false" ht="15" hidden="false" customHeight="false" outlineLevel="0" collapsed="false">
      <c r="A29" s="46"/>
      <c r="B29" s="47"/>
      <c r="C29" s="47"/>
      <c r="D29" s="49"/>
      <c r="E29" s="49"/>
      <c r="F29" s="48"/>
      <c r="G29" s="48"/>
      <c r="H29" s="48"/>
      <c r="I29" s="28" t="str">
        <f aca="false">IF(D29="","",IF(F29="",D29*차량_정보!C28,F29)+IF(G29="",0,G29)+D29*차량_정보!C39+IF(E29="",0,E29*차량_정보!B16))</f>
        <v/>
      </c>
      <c r="J29" s="28" t="str">
        <f aca="false">IF(OR(H29="",E29="",E29=0),"",H29/E29)</f>
        <v/>
      </c>
      <c r="K29" s="28" t="str">
        <f aca="false">IF(OR(H29="",I29=""),"",H29-I29)</f>
        <v/>
      </c>
      <c r="L29" s="47"/>
    </row>
    <row r="30" customFormat="false" ht="15" hidden="false" customHeight="false" outlineLevel="0" collapsed="false">
      <c r="A30" s="46"/>
      <c r="B30" s="47"/>
      <c r="C30" s="47"/>
      <c r="D30" s="49"/>
      <c r="E30" s="49"/>
      <c r="F30" s="48"/>
      <c r="G30" s="48"/>
      <c r="H30" s="48"/>
      <c r="I30" s="28" t="str">
        <f aca="false">IF(D30="","",IF(F30="",D30*차량_정보!C28,F30)+IF(G30="",0,G30)+D30*차량_정보!C39+IF(E30="",0,E30*차량_정보!B16))</f>
        <v/>
      </c>
      <c r="J30" s="28" t="str">
        <f aca="false">IF(OR(H30="",E30="",E30=0),"",H30/E30)</f>
        <v/>
      </c>
      <c r="K30" s="28" t="str">
        <f aca="false">IF(OR(H30="",I30=""),"",H30-I30)</f>
        <v/>
      </c>
      <c r="L30" s="47"/>
    </row>
    <row r="31" customFormat="false" ht="15" hidden="false" customHeight="false" outlineLevel="0" collapsed="false">
      <c r="A31" s="46"/>
      <c r="B31" s="47"/>
      <c r="C31" s="47"/>
      <c r="D31" s="49"/>
      <c r="E31" s="49"/>
      <c r="F31" s="48"/>
      <c r="G31" s="48"/>
      <c r="H31" s="48"/>
      <c r="I31" s="28" t="str">
        <f aca="false">IF(D31="","",IF(F31="",D31*차량_정보!C28,F31)+IF(G31="",0,G31)+D31*차량_정보!C39+IF(E31="",0,E31*차량_정보!B16))</f>
        <v/>
      </c>
      <c r="J31" s="28" t="str">
        <f aca="false">IF(OR(H31="",E31="",E31=0),"",H31/E31)</f>
        <v/>
      </c>
      <c r="K31" s="28" t="str">
        <f aca="false">IF(OR(H31="",I31=""),"",H31-I31)</f>
        <v/>
      </c>
      <c r="L31" s="47"/>
    </row>
    <row r="32" customFormat="false" ht="15" hidden="false" customHeight="false" outlineLevel="0" collapsed="false">
      <c r="A32" s="46"/>
      <c r="B32" s="47"/>
      <c r="C32" s="47"/>
      <c r="D32" s="49"/>
      <c r="E32" s="49"/>
      <c r="F32" s="48"/>
      <c r="G32" s="48"/>
      <c r="H32" s="48"/>
      <c r="I32" s="28" t="str">
        <f aca="false">IF(D32="","",IF(F32="",D32*차량_정보!C28,F32)+IF(G32="",0,G32)+D32*차량_정보!C39+IF(E32="",0,E32*차량_정보!B16))</f>
        <v/>
      </c>
      <c r="J32" s="28" t="str">
        <f aca="false">IF(OR(H32="",E32="",E32=0),"",H32/E32)</f>
        <v/>
      </c>
      <c r="K32" s="28" t="str">
        <f aca="false">IF(OR(H32="",I32=""),"",H32-I32)</f>
        <v/>
      </c>
      <c r="L32" s="47"/>
    </row>
    <row r="33" customFormat="false" ht="15" hidden="false" customHeight="false" outlineLevel="0" collapsed="false">
      <c r="A33" s="46"/>
      <c r="B33" s="47"/>
      <c r="C33" s="47"/>
      <c r="D33" s="49"/>
      <c r="E33" s="49"/>
      <c r="F33" s="48"/>
      <c r="G33" s="48"/>
      <c r="H33" s="48"/>
      <c r="I33" s="28" t="str">
        <f aca="false">IF(D33="","",IF(F33="",D33*차량_정보!C28,F33)+IF(G33="",0,G33)+D33*차량_정보!C39+IF(E33="",0,E33*차량_정보!B16))</f>
        <v/>
      </c>
      <c r="J33" s="28" t="str">
        <f aca="false">IF(OR(H33="",E33="",E33=0),"",H33/E33)</f>
        <v/>
      </c>
      <c r="K33" s="28" t="str">
        <f aca="false">IF(OR(H33="",I33=""),"",H33-I33)</f>
        <v/>
      </c>
      <c r="L33" s="47"/>
    </row>
    <row r="34" customFormat="false" ht="15" hidden="false" customHeight="false" outlineLevel="0" collapsed="false">
      <c r="A34" s="46"/>
      <c r="B34" s="47"/>
      <c r="C34" s="47"/>
      <c r="D34" s="49"/>
      <c r="E34" s="49"/>
      <c r="F34" s="48"/>
      <c r="G34" s="48"/>
      <c r="H34" s="48"/>
      <c r="I34" s="28" t="str">
        <f aca="false">IF(D34="","",IF(F34="",D34*차량_정보!C28,F34)+IF(G34="",0,G34)+D34*차량_정보!C39+IF(E34="",0,E34*차량_정보!B16))</f>
        <v/>
      </c>
      <c r="J34" s="28" t="str">
        <f aca="false">IF(OR(H34="",E34="",E34=0),"",H34/E34)</f>
        <v/>
      </c>
      <c r="K34" s="28" t="str">
        <f aca="false">IF(OR(H34="",I34=""),"",H34-I34)</f>
        <v/>
      </c>
      <c r="L34" s="47"/>
    </row>
    <row r="35" customFormat="false" ht="15" hidden="false" customHeight="false" outlineLevel="0" collapsed="false">
      <c r="A35" s="46"/>
      <c r="B35" s="47"/>
      <c r="C35" s="47"/>
      <c r="D35" s="49"/>
      <c r="E35" s="49"/>
      <c r="F35" s="48"/>
      <c r="G35" s="48"/>
      <c r="H35" s="48"/>
      <c r="I35" s="28" t="str">
        <f aca="false">IF(D35="","",IF(F35="",D35*차량_정보!C28,F35)+IF(G35="",0,G35)+D35*차량_정보!C39+IF(E35="",0,E35*차량_정보!B16))</f>
        <v/>
      </c>
      <c r="J35" s="28" t="str">
        <f aca="false">IF(OR(H35="",E35="",E35=0),"",H35/E35)</f>
        <v/>
      </c>
      <c r="K35" s="28" t="str">
        <f aca="false">IF(OR(H35="",I35=""),"",H35-I35)</f>
        <v/>
      </c>
      <c r="L35" s="47"/>
    </row>
    <row r="36" customFormat="false" ht="15" hidden="false" customHeight="false" outlineLevel="0" collapsed="false">
      <c r="A36" s="46"/>
      <c r="B36" s="47"/>
      <c r="C36" s="47"/>
      <c r="D36" s="49"/>
      <c r="E36" s="49"/>
      <c r="F36" s="48"/>
      <c r="G36" s="48"/>
      <c r="H36" s="48"/>
      <c r="I36" s="28" t="str">
        <f aca="false">IF(D36="","",IF(F36="",D36*차량_정보!C28,F36)+IF(G36="",0,G36)+D36*차량_정보!C39+IF(E36="",0,E36*차량_정보!B16))</f>
        <v/>
      </c>
      <c r="J36" s="28" t="str">
        <f aca="false">IF(OR(H36="",E36="",E36=0),"",H36/E36)</f>
        <v/>
      </c>
      <c r="K36" s="28" t="str">
        <f aca="false">IF(OR(H36="",I36=""),"",H36-I36)</f>
        <v/>
      </c>
      <c r="L36" s="47"/>
    </row>
    <row r="37" customFormat="false" ht="15" hidden="false" customHeight="false" outlineLevel="0" collapsed="false">
      <c r="A37" s="46"/>
      <c r="B37" s="47"/>
      <c r="C37" s="47"/>
      <c r="D37" s="49"/>
      <c r="E37" s="49"/>
      <c r="F37" s="48"/>
      <c r="G37" s="48"/>
      <c r="H37" s="48"/>
      <c r="I37" s="28" t="str">
        <f aca="false">IF(D37="","",IF(F37="",D37*차량_정보!C28,F37)+IF(G37="",0,G37)+D37*차량_정보!C39+IF(E37="",0,E37*차량_정보!B16))</f>
        <v/>
      </c>
      <c r="J37" s="28" t="str">
        <f aca="false">IF(OR(H37="",E37="",E37=0),"",H37/E37)</f>
        <v/>
      </c>
      <c r="K37" s="28" t="str">
        <f aca="false">IF(OR(H37="",I37=""),"",H37-I37)</f>
        <v/>
      </c>
      <c r="L37" s="47"/>
    </row>
    <row r="38" customFormat="false" ht="15" hidden="false" customHeight="false" outlineLevel="0" collapsed="false">
      <c r="A38" s="46"/>
      <c r="B38" s="47"/>
      <c r="C38" s="47"/>
      <c r="D38" s="49"/>
      <c r="E38" s="49"/>
      <c r="F38" s="48"/>
      <c r="G38" s="48"/>
      <c r="H38" s="48"/>
      <c r="I38" s="28" t="str">
        <f aca="false">IF(D38="","",IF(F38="",D38*차량_정보!C28,F38)+IF(G38="",0,G38)+D38*차량_정보!C39+IF(E38="",0,E38*차량_정보!B16))</f>
        <v/>
      </c>
      <c r="J38" s="28" t="str">
        <f aca="false">IF(OR(H38="",E38="",E38=0),"",H38/E38)</f>
        <v/>
      </c>
      <c r="K38" s="28" t="str">
        <f aca="false">IF(OR(H38="",I38=""),"",H38-I38)</f>
        <v/>
      </c>
      <c r="L38" s="47"/>
    </row>
    <row r="39" customFormat="false" ht="15" hidden="false" customHeight="false" outlineLevel="0" collapsed="false">
      <c r="A39" s="46"/>
      <c r="B39" s="47"/>
      <c r="C39" s="47"/>
      <c r="D39" s="49"/>
      <c r="E39" s="49"/>
      <c r="F39" s="48"/>
      <c r="G39" s="48"/>
      <c r="H39" s="48"/>
      <c r="I39" s="28" t="str">
        <f aca="false">IF(D39="","",IF(F39="",D39*차량_정보!C28,F39)+IF(G39="",0,G39)+D39*차량_정보!C39+IF(E39="",0,E39*차량_정보!B16))</f>
        <v/>
      </c>
      <c r="J39" s="28" t="str">
        <f aca="false">IF(OR(H39="",E39="",E39=0),"",H39/E39)</f>
        <v/>
      </c>
      <c r="K39" s="28" t="str">
        <f aca="false">IF(OR(H39="",I39=""),"",H39-I39)</f>
        <v/>
      </c>
      <c r="L39" s="47"/>
    </row>
    <row r="40" customFormat="false" ht="15" hidden="false" customHeight="false" outlineLevel="0" collapsed="false">
      <c r="A40" s="46"/>
      <c r="B40" s="47"/>
      <c r="C40" s="47"/>
      <c r="D40" s="49"/>
      <c r="E40" s="49"/>
      <c r="F40" s="48"/>
      <c r="G40" s="48"/>
      <c r="H40" s="48"/>
      <c r="I40" s="28" t="str">
        <f aca="false">IF(D40="","",IF(F40="",D40*차량_정보!C28,F40)+IF(G40="",0,G40)+D40*차량_정보!C39+IF(E40="",0,E40*차량_정보!B16))</f>
        <v/>
      </c>
      <c r="J40" s="28" t="str">
        <f aca="false">IF(OR(H40="",E40="",E40=0),"",H40/E40)</f>
        <v/>
      </c>
      <c r="K40" s="28" t="str">
        <f aca="false">IF(OR(H40="",I40=""),"",H40-I40)</f>
        <v/>
      </c>
      <c r="L40" s="47"/>
    </row>
    <row r="41" customFormat="false" ht="15" hidden="false" customHeight="false" outlineLevel="0" collapsed="false">
      <c r="A41" s="46"/>
      <c r="B41" s="47"/>
      <c r="C41" s="47"/>
      <c r="D41" s="49"/>
      <c r="E41" s="49"/>
      <c r="F41" s="48"/>
      <c r="G41" s="48"/>
      <c r="H41" s="48"/>
      <c r="I41" s="28" t="str">
        <f aca="false">IF(D41="","",IF(F41="",D41*차량_정보!C28,F41)+IF(G41="",0,G41)+D41*차량_정보!C39+IF(E41="",0,E41*차량_정보!B16))</f>
        <v/>
      </c>
      <c r="J41" s="28" t="str">
        <f aca="false">IF(OR(H41="",E41="",E41=0),"",H41/E41)</f>
        <v/>
      </c>
      <c r="K41" s="28" t="str">
        <f aca="false">IF(OR(H41="",I41=""),"",H41-I41)</f>
        <v/>
      </c>
      <c r="L41" s="47"/>
    </row>
    <row r="42" customFormat="false" ht="15" hidden="false" customHeight="false" outlineLevel="0" collapsed="false">
      <c r="A42" s="46"/>
      <c r="B42" s="47"/>
      <c r="C42" s="47"/>
      <c r="D42" s="49"/>
      <c r="E42" s="49"/>
      <c r="F42" s="48"/>
      <c r="G42" s="48"/>
      <c r="H42" s="48"/>
      <c r="I42" s="28" t="str">
        <f aca="false">IF(D42="","",IF(F42="",D42*차량_정보!C28,F42)+IF(G42="",0,G42)+D42*차량_정보!C39+IF(E42="",0,E42*차량_정보!B16))</f>
        <v/>
      </c>
      <c r="J42" s="28" t="str">
        <f aca="false">IF(OR(H42="",E42="",E42=0),"",H42/E42)</f>
        <v/>
      </c>
      <c r="K42" s="28" t="str">
        <f aca="false">IF(OR(H42="",I42=""),"",H42-I42)</f>
        <v/>
      </c>
      <c r="L42" s="47"/>
    </row>
    <row r="43" customFormat="false" ht="15" hidden="false" customHeight="false" outlineLevel="0" collapsed="false">
      <c r="A43" s="46"/>
      <c r="B43" s="47"/>
      <c r="C43" s="47"/>
      <c r="D43" s="49"/>
      <c r="E43" s="49"/>
      <c r="F43" s="48"/>
      <c r="G43" s="48"/>
      <c r="H43" s="48"/>
      <c r="I43" s="28" t="str">
        <f aca="false">IF(D43="","",IF(F43="",D43*차량_정보!C28,F43)+IF(G43="",0,G43)+D43*차량_정보!C39+IF(E43="",0,E43*차량_정보!B16))</f>
        <v/>
      </c>
      <c r="J43" s="28" t="str">
        <f aca="false">IF(OR(H43="",E43="",E43=0),"",H43/E43)</f>
        <v/>
      </c>
      <c r="K43" s="28" t="str">
        <f aca="false">IF(OR(H43="",I43=""),"",H43-I43)</f>
        <v/>
      </c>
      <c r="L43" s="47"/>
    </row>
    <row r="44" customFormat="false" ht="15" hidden="false" customHeight="false" outlineLevel="0" collapsed="false">
      <c r="A44" s="46"/>
      <c r="B44" s="47"/>
      <c r="C44" s="47"/>
      <c r="D44" s="49"/>
      <c r="E44" s="49"/>
      <c r="F44" s="48"/>
      <c r="G44" s="48"/>
      <c r="H44" s="48"/>
      <c r="I44" s="28" t="str">
        <f aca="false">IF(D44="","",IF(F44="",D44*차량_정보!C28,F44)+IF(G44="",0,G44)+D44*차량_정보!C39+IF(E44="",0,E44*차량_정보!B16))</f>
        <v/>
      </c>
      <c r="J44" s="28" t="str">
        <f aca="false">IF(OR(H44="",E44="",E44=0),"",H44/E44)</f>
        <v/>
      </c>
      <c r="K44" s="28" t="str">
        <f aca="false">IF(OR(H44="",I44=""),"",H44-I44)</f>
        <v/>
      </c>
      <c r="L44" s="47"/>
    </row>
    <row r="45" customFormat="false" ht="15" hidden="false" customHeight="false" outlineLevel="0" collapsed="false">
      <c r="A45" s="46"/>
      <c r="B45" s="47"/>
      <c r="C45" s="47"/>
      <c r="D45" s="49"/>
      <c r="E45" s="49"/>
      <c r="F45" s="48"/>
      <c r="G45" s="48"/>
      <c r="H45" s="48"/>
      <c r="I45" s="28" t="str">
        <f aca="false">IF(D45="","",IF(F45="",D45*차량_정보!C28,F45)+IF(G45="",0,G45)+D45*차량_정보!C39+IF(E45="",0,E45*차량_정보!B16))</f>
        <v/>
      </c>
      <c r="J45" s="28" t="str">
        <f aca="false">IF(OR(H45="",E45="",E45=0),"",H45/E45)</f>
        <v/>
      </c>
      <c r="K45" s="28" t="str">
        <f aca="false">IF(OR(H45="",I45=""),"",H45-I45)</f>
        <v/>
      </c>
      <c r="L45" s="47"/>
    </row>
    <row r="46" customFormat="false" ht="15" hidden="false" customHeight="false" outlineLevel="0" collapsed="false">
      <c r="A46" s="46"/>
      <c r="B46" s="47"/>
      <c r="C46" s="47"/>
      <c r="D46" s="49"/>
      <c r="E46" s="49"/>
      <c r="F46" s="48"/>
      <c r="G46" s="48"/>
      <c r="H46" s="48"/>
      <c r="I46" s="28" t="str">
        <f aca="false">IF(D46="","",IF(F46="",D46*차량_정보!C28,F46)+IF(G46="",0,G46)+D46*차량_정보!C39+IF(E46="",0,E46*차량_정보!B16))</f>
        <v/>
      </c>
      <c r="J46" s="28" t="str">
        <f aca="false">IF(OR(H46="",E46="",E46=0),"",H46/E46)</f>
        <v/>
      </c>
      <c r="K46" s="28" t="str">
        <f aca="false">IF(OR(H46="",I46=""),"",H46-I46)</f>
        <v/>
      </c>
      <c r="L46" s="47"/>
    </row>
    <row r="47" customFormat="false" ht="15" hidden="false" customHeight="false" outlineLevel="0" collapsed="false">
      <c r="A47" s="46"/>
      <c r="B47" s="47"/>
      <c r="C47" s="47"/>
      <c r="D47" s="49"/>
      <c r="E47" s="49"/>
      <c r="F47" s="48"/>
      <c r="G47" s="48"/>
      <c r="H47" s="48"/>
      <c r="I47" s="28" t="str">
        <f aca="false">IF(D47="","",IF(F47="",D47*차량_정보!C28,F47)+IF(G47="",0,G47)+D47*차량_정보!C39+IF(E47="",0,E47*차량_정보!B16))</f>
        <v/>
      </c>
      <c r="J47" s="28" t="str">
        <f aca="false">IF(OR(H47="",E47="",E47=0),"",H47/E47)</f>
        <v/>
      </c>
      <c r="K47" s="28" t="str">
        <f aca="false">IF(OR(H47="",I47=""),"",H47-I47)</f>
        <v/>
      </c>
      <c r="L47" s="47"/>
    </row>
    <row r="48" customFormat="false" ht="15" hidden="false" customHeight="false" outlineLevel="0" collapsed="false">
      <c r="A48" s="46"/>
      <c r="B48" s="47"/>
      <c r="C48" s="47"/>
      <c r="D48" s="49"/>
      <c r="E48" s="49"/>
      <c r="F48" s="48"/>
      <c r="G48" s="48"/>
      <c r="H48" s="48"/>
      <c r="I48" s="28" t="str">
        <f aca="false">IF(D48="","",IF(F48="",D48*차량_정보!C28,F48)+IF(G48="",0,G48)+D48*차량_정보!C39+IF(E48="",0,E48*차량_정보!B16))</f>
        <v/>
      </c>
      <c r="J48" s="28" t="str">
        <f aca="false">IF(OR(H48="",E48="",E48=0),"",H48/E48)</f>
        <v/>
      </c>
      <c r="K48" s="28" t="str">
        <f aca="false">IF(OR(H48="",I48=""),"",H48-I48)</f>
        <v/>
      </c>
      <c r="L48" s="47"/>
    </row>
    <row r="49" customFormat="false" ht="15" hidden="false" customHeight="false" outlineLevel="0" collapsed="false">
      <c r="A49" s="46"/>
      <c r="B49" s="47"/>
      <c r="C49" s="47"/>
      <c r="D49" s="49"/>
      <c r="E49" s="49"/>
      <c r="F49" s="48"/>
      <c r="G49" s="48"/>
      <c r="H49" s="48"/>
      <c r="I49" s="28" t="str">
        <f aca="false">IF(D49="","",IF(F49="",D49*차량_정보!C28,F49)+IF(G49="",0,G49)+D49*차량_정보!C39+IF(E49="",0,E49*차량_정보!B16))</f>
        <v/>
      </c>
      <c r="J49" s="28" t="str">
        <f aca="false">IF(OR(H49="",E49="",E49=0),"",H49/E49)</f>
        <v/>
      </c>
      <c r="K49" s="28" t="str">
        <f aca="false">IF(OR(H49="",I49=""),"",H49-I49)</f>
        <v/>
      </c>
      <c r="L49" s="47"/>
    </row>
    <row r="50" customFormat="false" ht="15" hidden="false" customHeight="false" outlineLevel="0" collapsed="false">
      <c r="A50" s="46"/>
      <c r="B50" s="47"/>
      <c r="C50" s="47"/>
      <c r="D50" s="49"/>
      <c r="E50" s="49"/>
      <c r="F50" s="48"/>
      <c r="G50" s="48"/>
      <c r="H50" s="48"/>
      <c r="I50" s="28" t="str">
        <f aca="false">IF(D50="","",IF(F50="",D50*차량_정보!C28,F50)+IF(G50="",0,G50)+D50*차량_정보!C39+IF(E50="",0,E50*차량_정보!B16))</f>
        <v/>
      </c>
      <c r="J50" s="28" t="str">
        <f aca="false">IF(OR(H50="",E50="",E50=0),"",H50/E50)</f>
        <v/>
      </c>
      <c r="K50" s="28" t="str">
        <f aca="false">IF(OR(H50="",I50=""),"",H50-I50)</f>
        <v/>
      </c>
      <c r="L50" s="47"/>
    </row>
    <row r="51" customFormat="false" ht="15" hidden="false" customHeight="false" outlineLevel="0" collapsed="false">
      <c r="A51" s="46"/>
      <c r="B51" s="47"/>
      <c r="C51" s="47"/>
      <c r="D51" s="49"/>
      <c r="E51" s="49"/>
      <c r="F51" s="48"/>
      <c r="G51" s="48"/>
      <c r="H51" s="48"/>
      <c r="I51" s="28" t="str">
        <f aca="false">IF(D51="","",IF(F51="",D51*차량_정보!C28,F51)+IF(G51="",0,G51)+D51*차량_정보!C39+IF(E51="",0,E51*차량_정보!B16))</f>
        <v/>
      </c>
      <c r="J51" s="28" t="str">
        <f aca="false">IF(OR(H51="",E51="",E51=0),"",H51/E51)</f>
        <v/>
      </c>
      <c r="K51" s="28" t="str">
        <f aca="false">IF(OR(H51="",I51=""),"",H51-I51)</f>
        <v/>
      </c>
      <c r="L51" s="47"/>
    </row>
    <row r="52" customFormat="false" ht="15" hidden="false" customHeight="false" outlineLevel="0" collapsed="false">
      <c r="A52" s="46"/>
      <c r="B52" s="47"/>
      <c r="C52" s="47"/>
      <c r="D52" s="49"/>
      <c r="E52" s="49"/>
      <c r="F52" s="48"/>
      <c r="G52" s="48"/>
      <c r="H52" s="48"/>
      <c r="I52" s="28" t="str">
        <f aca="false">IF(D52="","",IF(F52="",D52*차량_정보!C28,F52)+IF(G52="",0,G52)+D52*차량_정보!C39+IF(E52="",0,E52*차량_정보!B16))</f>
        <v/>
      </c>
      <c r="J52" s="28" t="str">
        <f aca="false">IF(OR(H52="",E52="",E52=0),"",H52/E52)</f>
        <v/>
      </c>
      <c r="K52" s="28" t="str">
        <f aca="false">IF(OR(H52="",I52=""),"",H52-I52)</f>
        <v/>
      </c>
      <c r="L52" s="47"/>
    </row>
    <row r="53" customFormat="false" ht="15" hidden="false" customHeight="false" outlineLevel="0" collapsed="false">
      <c r="A53" s="46"/>
      <c r="B53" s="47"/>
      <c r="C53" s="47"/>
      <c r="D53" s="49"/>
      <c r="E53" s="49"/>
      <c r="F53" s="48"/>
      <c r="G53" s="48"/>
      <c r="H53" s="48"/>
      <c r="I53" s="28" t="str">
        <f aca="false">IF(D53="","",IF(F53="",D53*차량_정보!C28,F53)+IF(G53="",0,G53)+D53*차량_정보!C39+IF(E53="",0,E53*차량_정보!B16))</f>
        <v/>
      </c>
      <c r="J53" s="28" t="str">
        <f aca="false">IF(OR(H53="",E53="",E53=0),"",H53/E53)</f>
        <v/>
      </c>
      <c r="K53" s="28" t="str">
        <f aca="false">IF(OR(H53="",I53=""),"",H53-I53)</f>
        <v/>
      </c>
      <c r="L53" s="47"/>
    </row>
    <row r="54" customFormat="false" ht="15" hidden="false" customHeight="false" outlineLevel="0" collapsed="false">
      <c r="A54" s="46"/>
      <c r="B54" s="47"/>
      <c r="C54" s="47"/>
      <c r="D54" s="49"/>
      <c r="E54" s="49"/>
      <c r="F54" s="48"/>
      <c r="G54" s="48"/>
      <c r="H54" s="48"/>
      <c r="I54" s="28" t="str">
        <f aca="false">IF(D54="","",IF(F54="",D54*차량_정보!C28,F54)+IF(G54="",0,G54)+D54*차량_정보!C39+IF(E54="",0,E54*차량_정보!B16))</f>
        <v/>
      </c>
      <c r="J54" s="28" t="str">
        <f aca="false">IF(OR(H54="",E54="",E54=0),"",H54/E54)</f>
        <v/>
      </c>
      <c r="K54" s="28" t="str">
        <f aca="false">IF(OR(H54="",I54=""),"",H54-I54)</f>
        <v/>
      </c>
      <c r="L54" s="47"/>
    </row>
    <row r="55" customFormat="false" ht="15" hidden="false" customHeight="false" outlineLevel="0" collapsed="false">
      <c r="A55" s="46"/>
      <c r="B55" s="47"/>
      <c r="C55" s="47"/>
      <c r="D55" s="49"/>
      <c r="E55" s="49"/>
      <c r="F55" s="48"/>
      <c r="G55" s="48"/>
      <c r="H55" s="48"/>
      <c r="I55" s="28" t="str">
        <f aca="false">IF(D55="","",IF(F55="",D55*차량_정보!C28,F55)+IF(G55="",0,G55)+D55*차량_정보!C39+IF(E55="",0,E55*차량_정보!B16))</f>
        <v/>
      </c>
      <c r="J55" s="28" t="str">
        <f aca="false">IF(OR(H55="",E55="",E55=0),"",H55/E55)</f>
        <v/>
      </c>
      <c r="K55" s="28" t="str">
        <f aca="false">IF(OR(H55="",I55=""),"",H55-I55)</f>
        <v/>
      </c>
      <c r="L55" s="47"/>
    </row>
    <row r="56" customFormat="false" ht="15" hidden="false" customHeight="false" outlineLevel="0" collapsed="false">
      <c r="A56" s="46"/>
      <c r="B56" s="47"/>
      <c r="C56" s="47"/>
      <c r="D56" s="49"/>
      <c r="E56" s="49"/>
      <c r="F56" s="48"/>
      <c r="G56" s="48"/>
      <c r="H56" s="48"/>
      <c r="I56" s="28" t="str">
        <f aca="false">IF(D56="","",IF(F56="",D56*차량_정보!C28,F56)+IF(G56="",0,G56)+D56*차량_정보!C39+IF(E56="",0,E56*차량_정보!B16))</f>
        <v/>
      </c>
      <c r="J56" s="28" t="str">
        <f aca="false">IF(OR(H56="",E56="",E56=0),"",H56/E56)</f>
        <v/>
      </c>
      <c r="K56" s="28" t="str">
        <f aca="false">IF(OR(H56="",I56=""),"",H56-I56)</f>
        <v/>
      </c>
      <c r="L56" s="47"/>
    </row>
    <row r="57" customFormat="false" ht="15" hidden="false" customHeight="false" outlineLevel="0" collapsed="false">
      <c r="A57" s="46"/>
      <c r="B57" s="47"/>
      <c r="C57" s="47"/>
      <c r="D57" s="49"/>
      <c r="E57" s="49"/>
      <c r="F57" s="48"/>
      <c r="G57" s="48"/>
      <c r="H57" s="48"/>
      <c r="I57" s="28" t="str">
        <f aca="false">IF(D57="","",IF(F57="",D57*차량_정보!C28,F57)+IF(G57="",0,G57)+D57*차량_정보!C39+IF(E57="",0,E57*차량_정보!B16))</f>
        <v/>
      </c>
      <c r="J57" s="28" t="str">
        <f aca="false">IF(OR(H57="",E57="",E57=0),"",H57/E57)</f>
        <v/>
      </c>
      <c r="K57" s="28" t="str">
        <f aca="false">IF(OR(H57="",I57=""),"",H57-I57)</f>
        <v/>
      </c>
      <c r="L57" s="47"/>
    </row>
    <row r="58" customFormat="false" ht="15" hidden="false" customHeight="false" outlineLevel="0" collapsed="false">
      <c r="A58" s="46"/>
      <c r="B58" s="47"/>
      <c r="C58" s="47"/>
      <c r="D58" s="49"/>
      <c r="E58" s="49"/>
      <c r="F58" s="48"/>
      <c r="G58" s="48"/>
      <c r="H58" s="48"/>
      <c r="I58" s="28" t="str">
        <f aca="false">IF(D58="","",IF(F58="",D58*차량_정보!C28,F58)+IF(G58="",0,G58)+D58*차량_정보!C39+IF(E58="",0,E58*차량_정보!B16))</f>
        <v/>
      </c>
      <c r="J58" s="28" t="str">
        <f aca="false">IF(OR(H58="",E58="",E58=0),"",H58/E58)</f>
        <v/>
      </c>
      <c r="K58" s="28" t="str">
        <f aca="false">IF(OR(H58="",I58=""),"",H58-I58)</f>
        <v/>
      </c>
      <c r="L58" s="47"/>
    </row>
    <row r="59" customFormat="false" ht="15" hidden="false" customHeight="false" outlineLevel="0" collapsed="false">
      <c r="A59" s="46"/>
      <c r="B59" s="47"/>
      <c r="C59" s="47"/>
      <c r="D59" s="49"/>
      <c r="E59" s="49"/>
      <c r="F59" s="48"/>
      <c r="G59" s="48"/>
      <c r="H59" s="48"/>
      <c r="I59" s="28" t="str">
        <f aca="false">IF(D59="","",IF(F59="",D59*차량_정보!C28,F59)+IF(G59="",0,G59)+D59*차량_정보!C39+IF(E59="",0,E59*차량_정보!B16))</f>
        <v/>
      </c>
      <c r="J59" s="28" t="str">
        <f aca="false">IF(OR(H59="",E59="",E59=0),"",H59/E59)</f>
        <v/>
      </c>
      <c r="K59" s="28" t="str">
        <f aca="false">IF(OR(H59="",I59=""),"",H59-I59)</f>
        <v/>
      </c>
      <c r="L59" s="47"/>
    </row>
    <row r="60" customFormat="false" ht="15" hidden="false" customHeight="false" outlineLevel="0" collapsed="false">
      <c r="A60" s="46"/>
      <c r="B60" s="47"/>
      <c r="C60" s="47"/>
      <c r="D60" s="49"/>
      <c r="E60" s="49"/>
      <c r="F60" s="48"/>
      <c r="G60" s="48"/>
      <c r="H60" s="48"/>
      <c r="I60" s="28" t="str">
        <f aca="false">IF(D60="","",IF(F60="",D60*차량_정보!C28,F60)+IF(G60="",0,G60)+D60*차량_정보!C39+IF(E60="",0,E60*차량_정보!B16))</f>
        <v/>
      </c>
      <c r="J60" s="28" t="str">
        <f aca="false">IF(OR(H60="",E60="",E60=0),"",H60/E60)</f>
        <v/>
      </c>
      <c r="K60" s="28" t="str">
        <f aca="false">IF(OR(H60="",I60=""),"",H60-I60)</f>
        <v/>
      </c>
      <c r="L60" s="47"/>
    </row>
    <row r="61" customFormat="false" ht="15" hidden="false" customHeight="false" outlineLevel="0" collapsed="false">
      <c r="A61" s="46"/>
      <c r="B61" s="47"/>
      <c r="C61" s="47"/>
      <c r="D61" s="49"/>
      <c r="E61" s="49"/>
      <c r="F61" s="48"/>
      <c r="G61" s="48"/>
      <c r="H61" s="48"/>
      <c r="I61" s="28" t="str">
        <f aca="false">IF(D61="","",IF(F61="",D61*차량_정보!C28,F61)+IF(G61="",0,G61)+D61*차량_정보!C39+IF(E61="",0,E61*차량_정보!B16))</f>
        <v/>
      </c>
      <c r="J61" s="28" t="str">
        <f aca="false">IF(OR(H61="",E61="",E61=0),"",H61/E61)</f>
        <v/>
      </c>
      <c r="K61" s="28" t="str">
        <f aca="false">IF(OR(H61="",I61=""),"",H61-I61)</f>
        <v/>
      </c>
      <c r="L61" s="47"/>
    </row>
    <row r="62" customFormat="false" ht="15" hidden="false" customHeight="false" outlineLevel="0" collapsed="false">
      <c r="A62" s="46"/>
      <c r="B62" s="47"/>
      <c r="C62" s="47"/>
      <c r="D62" s="49"/>
      <c r="E62" s="49"/>
      <c r="F62" s="48"/>
      <c r="G62" s="48"/>
      <c r="H62" s="48"/>
      <c r="I62" s="28" t="str">
        <f aca="false">IF(D62="","",IF(F62="",D62*차량_정보!C28,F62)+IF(G62="",0,G62)+D62*차량_정보!C39+IF(E62="",0,E62*차량_정보!B16))</f>
        <v/>
      </c>
      <c r="J62" s="28" t="str">
        <f aca="false">IF(OR(H62="",E62="",E62=0),"",H62/E62)</f>
        <v/>
      </c>
      <c r="K62" s="28" t="str">
        <f aca="false">IF(OR(H62="",I62=""),"",H62-I62)</f>
        <v/>
      </c>
      <c r="L62" s="47"/>
    </row>
    <row r="63" customFormat="false" ht="15" hidden="false" customHeight="false" outlineLevel="0" collapsed="false">
      <c r="A63" s="46"/>
      <c r="B63" s="47"/>
      <c r="C63" s="47"/>
      <c r="D63" s="49"/>
      <c r="E63" s="49"/>
      <c r="F63" s="48"/>
      <c r="G63" s="48"/>
      <c r="H63" s="48"/>
      <c r="I63" s="28" t="str">
        <f aca="false">IF(D63="","",IF(F63="",D63*차량_정보!C28,F63)+IF(G63="",0,G63)+D63*차량_정보!C39+IF(E63="",0,E63*차량_정보!B16))</f>
        <v/>
      </c>
      <c r="J63" s="28" t="str">
        <f aca="false">IF(OR(H63="",E63="",E63=0),"",H63/E63)</f>
        <v/>
      </c>
      <c r="K63" s="28" t="str">
        <f aca="false">IF(OR(H63="",I63=""),"",H63-I63)</f>
        <v/>
      </c>
      <c r="L63" s="47"/>
    </row>
    <row r="64" customFormat="false" ht="15" hidden="false" customHeight="false" outlineLevel="0" collapsed="false">
      <c r="A64" s="46"/>
      <c r="B64" s="47"/>
      <c r="C64" s="47"/>
      <c r="D64" s="49"/>
      <c r="E64" s="49"/>
      <c r="F64" s="48"/>
      <c r="G64" s="48"/>
      <c r="H64" s="48"/>
      <c r="I64" s="28" t="str">
        <f aca="false">IF(D64="","",IF(F64="",D64*차량_정보!C28,F64)+IF(G64="",0,G64)+D64*차량_정보!C39+IF(E64="",0,E64*차량_정보!B16))</f>
        <v/>
      </c>
      <c r="J64" s="28" t="str">
        <f aca="false">IF(OR(H64="",E64="",E64=0),"",H64/E64)</f>
        <v/>
      </c>
      <c r="K64" s="28" t="str">
        <f aca="false">IF(OR(H64="",I64=""),"",H64-I64)</f>
        <v/>
      </c>
      <c r="L64" s="47"/>
    </row>
    <row r="65" customFormat="false" ht="15" hidden="false" customHeight="false" outlineLevel="0" collapsed="false">
      <c r="A65" s="46"/>
      <c r="B65" s="47"/>
      <c r="C65" s="47"/>
      <c r="D65" s="49"/>
      <c r="E65" s="49"/>
      <c r="F65" s="48"/>
      <c r="G65" s="48"/>
      <c r="H65" s="48"/>
      <c r="I65" s="28" t="str">
        <f aca="false">IF(D65="","",IF(F65="",D65*차량_정보!C28,F65)+IF(G65="",0,G65)+D65*차량_정보!C39+IF(E65="",0,E65*차량_정보!B16))</f>
        <v/>
      </c>
      <c r="J65" s="28" t="str">
        <f aca="false">IF(OR(H65="",E65="",E65=0),"",H65/E65)</f>
        <v/>
      </c>
      <c r="K65" s="28" t="str">
        <f aca="false">IF(OR(H65="",I65=""),"",H65-I65)</f>
        <v/>
      </c>
      <c r="L65" s="47"/>
    </row>
    <row r="66" customFormat="false" ht="15" hidden="false" customHeight="false" outlineLevel="0" collapsed="false">
      <c r="A66" s="46"/>
      <c r="B66" s="47"/>
      <c r="C66" s="47"/>
      <c r="D66" s="49"/>
      <c r="E66" s="49"/>
      <c r="F66" s="48"/>
      <c r="G66" s="48"/>
      <c r="H66" s="48"/>
      <c r="I66" s="28" t="str">
        <f aca="false">IF(D66="","",IF(F66="",D66*차량_정보!C28,F66)+IF(G66="",0,G66)+D66*차량_정보!C39+IF(E66="",0,E66*차량_정보!B16))</f>
        <v/>
      </c>
      <c r="J66" s="28" t="str">
        <f aca="false">IF(OR(H66="",E66="",E66=0),"",H66/E66)</f>
        <v/>
      </c>
      <c r="K66" s="28" t="str">
        <f aca="false">IF(OR(H66="",I66=""),"",H66-I66)</f>
        <v/>
      </c>
      <c r="L66" s="47"/>
    </row>
    <row r="67" customFormat="false" ht="15" hidden="false" customHeight="false" outlineLevel="0" collapsed="false">
      <c r="A67" s="46"/>
      <c r="B67" s="47"/>
      <c r="C67" s="47"/>
      <c r="D67" s="49"/>
      <c r="E67" s="49"/>
      <c r="F67" s="48"/>
      <c r="G67" s="48"/>
      <c r="H67" s="48"/>
      <c r="I67" s="28" t="str">
        <f aca="false">IF(D67="","",IF(F67="",D67*차량_정보!C28,F67)+IF(G67="",0,G67)+D67*차량_정보!C39+IF(E67="",0,E67*차량_정보!B16))</f>
        <v/>
      </c>
      <c r="J67" s="28" t="str">
        <f aca="false">IF(OR(H67="",E67="",E67=0),"",H67/E67)</f>
        <v/>
      </c>
      <c r="K67" s="28" t="str">
        <f aca="false">IF(OR(H67="",I67=""),"",H67-I67)</f>
        <v/>
      </c>
      <c r="L67" s="47"/>
    </row>
    <row r="68" customFormat="false" ht="15" hidden="false" customHeight="false" outlineLevel="0" collapsed="false">
      <c r="A68" s="46"/>
      <c r="B68" s="47"/>
      <c r="C68" s="47"/>
      <c r="D68" s="49"/>
      <c r="E68" s="49"/>
      <c r="F68" s="48"/>
      <c r="G68" s="48"/>
      <c r="H68" s="48"/>
      <c r="I68" s="28" t="str">
        <f aca="false">IF(D68="","",IF(F68="",D68*차량_정보!C28,F68)+IF(G68="",0,G68)+D68*차량_정보!C39+IF(E68="",0,E68*차량_정보!B16))</f>
        <v/>
      </c>
      <c r="J68" s="28" t="str">
        <f aca="false">IF(OR(H68="",E68="",E68=0),"",H68/E68)</f>
        <v/>
      </c>
      <c r="K68" s="28" t="str">
        <f aca="false">IF(OR(H68="",I68=""),"",H68-I68)</f>
        <v/>
      </c>
      <c r="L68" s="47"/>
    </row>
    <row r="69" customFormat="false" ht="15" hidden="false" customHeight="false" outlineLevel="0" collapsed="false">
      <c r="A69" s="46"/>
      <c r="B69" s="47"/>
      <c r="C69" s="47"/>
      <c r="D69" s="49"/>
      <c r="E69" s="49"/>
      <c r="F69" s="48"/>
      <c r="G69" s="48"/>
      <c r="H69" s="48"/>
      <c r="I69" s="28" t="str">
        <f aca="false">IF(D69="","",IF(F69="",D69*차량_정보!C28,F69)+IF(G69="",0,G69)+D69*차량_정보!C39+IF(E69="",0,E69*차량_정보!B16))</f>
        <v/>
      </c>
      <c r="J69" s="28" t="str">
        <f aca="false">IF(OR(H69="",E69="",E69=0),"",H69/E69)</f>
        <v/>
      </c>
      <c r="K69" s="28" t="str">
        <f aca="false">IF(OR(H69="",I69=""),"",H69-I69)</f>
        <v/>
      </c>
      <c r="L69" s="47"/>
    </row>
    <row r="70" customFormat="false" ht="15" hidden="false" customHeight="false" outlineLevel="0" collapsed="false">
      <c r="A70" s="46"/>
      <c r="B70" s="47"/>
      <c r="C70" s="47"/>
      <c r="D70" s="49"/>
      <c r="E70" s="49"/>
      <c r="F70" s="48"/>
      <c r="G70" s="48"/>
      <c r="H70" s="48"/>
      <c r="I70" s="28" t="str">
        <f aca="false">IF(D70="","",IF(F70="",D70*차량_정보!C28,F70)+IF(G70="",0,G70)+D70*차량_정보!C39+IF(E70="",0,E70*차량_정보!B16))</f>
        <v/>
      </c>
      <c r="J70" s="28" t="str">
        <f aca="false">IF(OR(H70="",E70="",E70=0),"",H70/E70)</f>
        <v/>
      </c>
      <c r="K70" s="28" t="str">
        <f aca="false">IF(OR(H70="",I70=""),"",H70-I70)</f>
        <v/>
      </c>
      <c r="L70" s="47"/>
    </row>
    <row r="71" customFormat="false" ht="15" hidden="false" customHeight="false" outlineLevel="0" collapsed="false">
      <c r="A71" s="46"/>
      <c r="B71" s="47"/>
      <c r="C71" s="47"/>
      <c r="D71" s="49"/>
      <c r="E71" s="49"/>
      <c r="F71" s="48"/>
      <c r="G71" s="48"/>
      <c r="H71" s="48"/>
      <c r="I71" s="28" t="str">
        <f aca="false">IF(D71="","",IF(F71="",D71*차량_정보!C28,F71)+IF(G71="",0,G71)+D71*차량_정보!C39+IF(E71="",0,E71*차량_정보!B16))</f>
        <v/>
      </c>
      <c r="J71" s="28" t="str">
        <f aca="false">IF(OR(H71="",E71="",E71=0),"",H71/E71)</f>
        <v/>
      </c>
      <c r="K71" s="28" t="str">
        <f aca="false">IF(OR(H71="",I71=""),"",H71-I71)</f>
        <v/>
      </c>
      <c r="L71" s="47"/>
    </row>
    <row r="72" customFormat="false" ht="15" hidden="false" customHeight="false" outlineLevel="0" collapsed="false">
      <c r="A72" s="46"/>
      <c r="B72" s="47"/>
      <c r="C72" s="47"/>
      <c r="D72" s="49"/>
      <c r="E72" s="49"/>
      <c r="F72" s="48"/>
      <c r="G72" s="48"/>
      <c r="H72" s="48"/>
      <c r="I72" s="28" t="str">
        <f aca="false">IF(D72="","",IF(F72="",D72*차량_정보!C28,F72)+IF(G72="",0,G72)+D72*차량_정보!C39+IF(E72="",0,E72*차량_정보!B16))</f>
        <v/>
      </c>
      <c r="J72" s="28" t="str">
        <f aca="false">IF(OR(H72="",E72="",E72=0),"",H72/E72)</f>
        <v/>
      </c>
      <c r="K72" s="28" t="str">
        <f aca="false">IF(OR(H72="",I72=""),"",H72-I72)</f>
        <v/>
      </c>
      <c r="L72" s="47"/>
    </row>
    <row r="73" customFormat="false" ht="15" hidden="false" customHeight="false" outlineLevel="0" collapsed="false">
      <c r="A73" s="46"/>
      <c r="B73" s="47"/>
      <c r="C73" s="47"/>
      <c r="D73" s="49"/>
      <c r="E73" s="49"/>
      <c r="F73" s="48"/>
      <c r="G73" s="48"/>
      <c r="H73" s="48"/>
      <c r="I73" s="28" t="str">
        <f aca="false">IF(D73="","",IF(F73="",D73*차량_정보!C28,F73)+IF(G73="",0,G73)+D73*차량_정보!C39+IF(E73="",0,E73*차량_정보!B16))</f>
        <v/>
      </c>
      <c r="J73" s="28" t="str">
        <f aca="false">IF(OR(H73="",E73="",E73=0),"",H73/E73)</f>
        <v/>
      </c>
      <c r="K73" s="28" t="str">
        <f aca="false">IF(OR(H73="",I73=""),"",H73-I73)</f>
        <v/>
      </c>
      <c r="L73" s="47"/>
    </row>
    <row r="74" customFormat="false" ht="15" hidden="false" customHeight="false" outlineLevel="0" collapsed="false">
      <c r="A74" s="46"/>
      <c r="B74" s="47"/>
      <c r="C74" s="47"/>
      <c r="D74" s="49"/>
      <c r="E74" s="49"/>
      <c r="F74" s="48"/>
      <c r="G74" s="48"/>
      <c r="H74" s="48"/>
      <c r="I74" s="28" t="str">
        <f aca="false">IF(D74="","",IF(F74="",D74*차량_정보!C28,F74)+IF(G74="",0,G74)+D74*차량_정보!C39+IF(E74="",0,E74*차량_정보!B16))</f>
        <v/>
      </c>
      <c r="J74" s="28" t="str">
        <f aca="false">IF(OR(H74="",E74="",E74=0),"",H74/E74)</f>
        <v/>
      </c>
      <c r="K74" s="28" t="str">
        <f aca="false">IF(OR(H74="",I74=""),"",H74-I74)</f>
        <v/>
      </c>
      <c r="L74" s="47"/>
    </row>
    <row r="75" customFormat="false" ht="15" hidden="false" customHeight="false" outlineLevel="0" collapsed="false">
      <c r="A75" s="46"/>
      <c r="B75" s="47"/>
      <c r="C75" s="47"/>
      <c r="D75" s="49"/>
      <c r="E75" s="49"/>
      <c r="F75" s="48"/>
      <c r="G75" s="48"/>
      <c r="H75" s="48"/>
      <c r="I75" s="28" t="str">
        <f aca="false">IF(D75="","",IF(F75="",D75*차량_정보!C28,F75)+IF(G75="",0,G75)+D75*차량_정보!C39+IF(E75="",0,E75*차량_정보!B16))</f>
        <v/>
      </c>
      <c r="J75" s="28" t="str">
        <f aca="false">IF(OR(H75="",E75="",E75=0),"",H75/E75)</f>
        <v/>
      </c>
      <c r="K75" s="28" t="str">
        <f aca="false">IF(OR(H75="",I75=""),"",H75-I75)</f>
        <v/>
      </c>
      <c r="L75" s="47"/>
    </row>
    <row r="76" customFormat="false" ht="15" hidden="false" customHeight="false" outlineLevel="0" collapsed="false">
      <c r="A76" s="46"/>
      <c r="B76" s="47"/>
      <c r="C76" s="47"/>
      <c r="D76" s="49"/>
      <c r="E76" s="49"/>
      <c r="F76" s="48"/>
      <c r="G76" s="48"/>
      <c r="H76" s="48"/>
      <c r="I76" s="28" t="str">
        <f aca="false">IF(D76="","",IF(F76="",D76*차량_정보!C28,F76)+IF(G76="",0,G76)+D76*차량_정보!C39+IF(E76="",0,E76*차량_정보!B16))</f>
        <v/>
      </c>
      <c r="J76" s="28" t="str">
        <f aca="false">IF(OR(H76="",E76="",E76=0),"",H76/E76)</f>
        <v/>
      </c>
      <c r="K76" s="28" t="str">
        <f aca="false">IF(OR(H76="",I76=""),"",H76-I76)</f>
        <v/>
      </c>
      <c r="L76" s="47"/>
    </row>
    <row r="77" customFormat="false" ht="15" hidden="false" customHeight="false" outlineLevel="0" collapsed="false">
      <c r="A77" s="46"/>
      <c r="B77" s="47"/>
      <c r="C77" s="47"/>
      <c r="D77" s="49"/>
      <c r="E77" s="49"/>
      <c r="F77" s="48"/>
      <c r="G77" s="48"/>
      <c r="H77" s="48"/>
      <c r="I77" s="28" t="str">
        <f aca="false">IF(D77="","",IF(F77="",D77*차량_정보!C28,F77)+IF(G77="",0,G77)+D77*차량_정보!C39+IF(E77="",0,E77*차량_정보!B16))</f>
        <v/>
      </c>
      <c r="J77" s="28" t="str">
        <f aca="false">IF(OR(H77="",E77="",E77=0),"",H77/E77)</f>
        <v/>
      </c>
      <c r="K77" s="28" t="str">
        <f aca="false">IF(OR(H77="",I77=""),"",H77-I77)</f>
        <v/>
      </c>
      <c r="L77" s="47"/>
    </row>
    <row r="78" customFormat="false" ht="15" hidden="false" customHeight="false" outlineLevel="0" collapsed="false">
      <c r="A78" s="46"/>
      <c r="B78" s="47"/>
      <c r="C78" s="47"/>
      <c r="D78" s="49"/>
      <c r="E78" s="49"/>
      <c r="F78" s="48"/>
      <c r="G78" s="48"/>
      <c r="H78" s="48"/>
      <c r="I78" s="28" t="str">
        <f aca="false">IF(D78="","",IF(F78="",D78*차량_정보!C28,F78)+IF(G78="",0,G78)+D78*차량_정보!C39+IF(E78="",0,E78*차량_정보!B16))</f>
        <v/>
      </c>
      <c r="J78" s="28" t="str">
        <f aca="false">IF(OR(H78="",E78="",E78=0),"",H78/E78)</f>
        <v/>
      </c>
      <c r="K78" s="28" t="str">
        <f aca="false">IF(OR(H78="",I78=""),"",H78-I78)</f>
        <v/>
      </c>
      <c r="L78" s="47"/>
    </row>
    <row r="79" customFormat="false" ht="15" hidden="false" customHeight="false" outlineLevel="0" collapsed="false">
      <c r="A79" s="46"/>
      <c r="B79" s="47"/>
      <c r="C79" s="47"/>
      <c r="D79" s="49"/>
      <c r="E79" s="49"/>
      <c r="F79" s="48"/>
      <c r="G79" s="48"/>
      <c r="H79" s="48"/>
      <c r="I79" s="28" t="str">
        <f aca="false">IF(D79="","",IF(F79="",D79*차량_정보!C28,F79)+IF(G79="",0,G79)+D79*차량_정보!C39+IF(E79="",0,E79*차량_정보!B16))</f>
        <v/>
      </c>
      <c r="J79" s="28" t="str">
        <f aca="false">IF(OR(H79="",E79="",E79=0),"",H79/E79)</f>
        <v/>
      </c>
      <c r="K79" s="28" t="str">
        <f aca="false">IF(OR(H79="",I79=""),"",H79-I79)</f>
        <v/>
      </c>
      <c r="L79" s="47"/>
    </row>
    <row r="80" customFormat="false" ht="15" hidden="false" customHeight="false" outlineLevel="0" collapsed="false">
      <c r="A80" s="46"/>
      <c r="B80" s="47"/>
      <c r="C80" s="47"/>
      <c r="D80" s="49"/>
      <c r="E80" s="49"/>
      <c r="F80" s="48"/>
      <c r="G80" s="48"/>
      <c r="H80" s="48"/>
      <c r="I80" s="28" t="str">
        <f aca="false">IF(D80="","",IF(F80="",D80*차량_정보!C28,F80)+IF(G80="",0,G80)+D80*차량_정보!C39+IF(E80="",0,E80*차량_정보!B16))</f>
        <v/>
      </c>
      <c r="J80" s="28" t="str">
        <f aca="false">IF(OR(H80="",E80="",E80=0),"",H80/E80)</f>
        <v/>
      </c>
      <c r="K80" s="28" t="str">
        <f aca="false">IF(OR(H80="",I80=""),"",H80-I80)</f>
        <v/>
      </c>
      <c r="L80" s="47"/>
    </row>
    <row r="81" customFormat="false" ht="15" hidden="false" customHeight="false" outlineLevel="0" collapsed="false">
      <c r="A81" s="46"/>
      <c r="B81" s="47"/>
      <c r="C81" s="47"/>
      <c r="D81" s="49"/>
      <c r="E81" s="49"/>
      <c r="F81" s="48"/>
      <c r="G81" s="48"/>
      <c r="H81" s="48"/>
      <c r="I81" s="28" t="str">
        <f aca="false">IF(D81="","",IF(F81="",D81*차량_정보!C28,F81)+IF(G81="",0,G81)+D81*차량_정보!C39+IF(E81="",0,E81*차량_정보!B16))</f>
        <v/>
      </c>
      <c r="J81" s="28" t="str">
        <f aca="false">IF(OR(H81="",E81="",E81=0),"",H81/E81)</f>
        <v/>
      </c>
      <c r="K81" s="28" t="str">
        <f aca="false">IF(OR(H81="",I81=""),"",H81-I81)</f>
        <v/>
      </c>
      <c r="L81" s="47"/>
    </row>
    <row r="82" customFormat="false" ht="15" hidden="false" customHeight="false" outlineLevel="0" collapsed="false">
      <c r="A82" s="46"/>
      <c r="B82" s="47"/>
      <c r="C82" s="47"/>
      <c r="D82" s="49"/>
      <c r="E82" s="49"/>
      <c r="F82" s="48"/>
      <c r="G82" s="48"/>
      <c r="H82" s="48"/>
      <c r="I82" s="28" t="str">
        <f aca="false">IF(D82="","",IF(F82="",D82*차량_정보!C28,F82)+IF(G82="",0,G82)+D82*차량_정보!C39+IF(E82="",0,E82*차량_정보!B16))</f>
        <v/>
      </c>
      <c r="J82" s="28" t="str">
        <f aca="false">IF(OR(H82="",E82="",E82=0),"",H82/E82)</f>
        <v/>
      </c>
      <c r="K82" s="28" t="str">
        <f aca="false">IF(OR(H82="",I82=""),"",H82-I82)</f>
        <v/>
      </c>
      <c r="L82" s="47"/>
    </row>
    <row r="83" customFormat="false" ht="15" hidden="false" customHeight="false" outlineLevel="0" collapsed="false">
      <c r="A83" s="46"/>
      <c r="B83" s="47"/>
      <c r="C83" s="47"/>
      <c r="D83" s="49"/>
      <c r="E83" s="49"/>
      <c r="F83" s="48"/>
      <c r="G83" s="48"/>
      <c r="H83" s="48"/>
      <c r="I83" s="28" t="str">
        <f aca="false">IF(D83="","",IF(F83="",D83*차량_정보!C28,F83)+IF(G83="",0,G83)+D83*차량_정보!C39+IF(E83="",0,E83*차량_정보!B16))</f>
        <v/>
      </c>
      <c r="J83" s="28" t="str">
        <f aca="false">IF(OR(H83="",E83="",E83=0),"",H83/E83)</f>
        <v/>
      </c>
      <c r="K83" s="28" t="str">
        <f aca="false">IF(OR(H83="",I83=""),"",H83-I83)</f>
        <v/>
      </c>
      <c r="L83" s="47"/>
    </row>
    <row r="84" customFormat="false" ht="15" hidden="false" customHeight="false" outlineLevel="0" collapsed="false">
      <c r="A84" s="46"/>
      <c r="B84" s="47"/>
      <c r="C84" s="47"/>
      <c r="D84" s="49"/>
      <c r="E84" s="49"/>
      <c r="F84" s="48"/>
      <c r="G84" s="48"/>
      <c r="H84" s="48"/>
      <c r="I84" s="28" t="str">
        <f aca="false">IF(D84="","",IF(F84="",D84*차량_정보!C28,F84)+IF(G84="",0,G84)+D84*차량_정보!C39+IF(E84="",0,E84*차량_정보!B16))</f>
        <v/>
      </c>
      <c r="J84" s="28" t="str">
        <f aca="false">IF(OR(H84="",E84="",E84=0),"",H84/E84)</f>
        <v/>
      </c>
      <c r="K84" s="28" t="str">
        <f aca="false">IF(OR(H84="",I84=""),"",H84-I84)</f>
        <v/>
      </c>
      <c r="L84" s="47"/>
    </row>
  </sheetData>
  <mergeCells count="2">
    <mergeCell ref="A1:L1"/>
    <mergeCell ref="A3:L3"/>
  </mergeCells>
  <conditionalFormatting sqref="K5:K8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31.5" hidden="false" customHeight="true" outlineLevel="0" collapsed="false">
      <c r="A1" s="1" t="s">
        <v>178</v>
      </c>
      <c r="B1" s="1"/>
      <c r="C1" s="1"/>
      <c r="D1" s="1"/>
      <c r="E1" s="1"/>
      <c r="F1" s="1"/>
    </row>
    <row r="3" customFormat="false" ht="11.9" hidden="false" customHeight="false" outlineLevel="0" collapsed="false">
      <c r="A3" s="2" t="s">
        <v>179</v>
      </c>
      <c r="B3" s="2"/>
      <c r="C3" s="2"/>
      <c r="D3" s="2"/>
      <c r="E3" s="2"/>
      <c r="F3" s="2"/>
    </row>
    <row r="4" customFormat="false" ht="11.9" hidden="false" customHeight="false" outlineLevel="0" collapsed="false">
      <c r="A4" s="2" t="s">
        <v>180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21" t="s">
        <v>47</v>
      </c>
      <c r="B5" s="21" t="s">
        <v>181</v>
      </c>
    </row>
    <row r="6" customFormat="false" ht="27.6" hidden="false" customHeight="false" outlineLevel="0" collapsed="false">
      <c r="A6" s="50" t="s">
        <v>182</v>
      </c>
      <c r="B6" s="41" t="n">
        <f aca="false">차량_정보!B12</f>
        <v>2500</v>
      </c>
    </row>
    <row r="7" customFormat="false" ht="28.35" hidden="false" customHeight="false" outlineLevel="0" collapsed="false">
      <c r="A7" s="50" t="s">
        <v>183</v>
      </c>
      <c r="B7" s="41" t="n">
        <f aca="false">차량_정보!B13</f>
        <v>2000</v>
      </c>
    </row>
    <row r="8" customFormat="false" ht="27.6" hidden="false" customHeight="false" outlineLevel="0" collapsed="false">
      <c r="A8" s="50" t="s">
        <v>184</v>
      </c>
      <c r="B8" s="41" t="n">
        <f aca="false">B6+B7</f>
        <v>4500</v>
      </c>
    </row>
    <row r="9" customFormat="false" ht="28.35" hidden="false" customHeight="false" outlineLevel="0" collapsed="false">
      <c r="A9" s="51" t="s">
        <v>185</v>
      </c>
      <c r="B9" s="41" t="n">
        <f aca="false">SUM(D11:D200)</f>
        <v>0</v>
      </c>
    </row>
    <row r="10" customFormat="false" ht="15" hidden="false" customHeight="false" outlineLevel="0" collapsed="false">
      <c r="A10" s="21" t="s">
        <v>157</v>
      </c>
      <c r="B10" s="52" t="s">
        <v>47</v>
      </c>
      <c r="C10" s="21" t="s">
        <v>186</v>
      </c>
      <c r="D10" s="21" t="s">
        <v>187</v>
      </c>
      <c r="E10" s="21" t="s">
        <v>188</v>
      </c>
      <c r="F10" s="21" t="s">
        <v>50</v>
      </c>
    </row>
    <row r="11" customFormat="false" ht="28.35" hidden="false" customHeight="false" outlineLevel="0" collapsed="false">
      <c r="A11" s="46" t="s">
        <v>189</v>
      </c>
      <c r="B11" s="53" t="n">
        <f aca="false">SUMIF(C11:C200,"큰수리",D11:D200)</f>
        <v>0</v>
      </c>
      <c r="C11" s="46"/>
      <c r="D11" s="48"/>
      <c r="E11" s="14"/>
      <c r="F11" s="47"/>
    </row>
    <row r="12" customFormat="false" ht="15" hidden="false" customHeight="false" outlineLevel="0" collapsed="false">
      <c r="A12" s="46"/>
      <c r="B12" s="47"/>
      <c r="C12" s="46"/>
      <c r="D12" s="48"/>
      <c r="E12" s="14"/>
      <c r="F12" s="47"/>
    </row>
    <row r="13" customFormat="false" ht="15" hidden="false" customHeight="false" outlineLevel="0" collapsed="false">
      <c r="A13" s="46"/>
      <c r="B13" s="47"/>
      <c r="C13" s="46"/>
      <c r="D13" s="48"/>
      <c r="E13" s="14"/>
      <c r="F13" s="47"/>
    </row>
    <row r="14" customFormat="false" ht="15" hidden="false" customHeight="false" outlineLevel="0" collapsed="false">
      <c r="A14" s="46"/>
      <c r="B14" s="47"/>
      <c r="C14" s="46"/>
      <c r="D14" s="48"/>
      <c r="E14" s="14"/>
      <c r="F14" s="47"/>
    </row>
    <row r="15" customFormat="false" ht="15" hidden="false" customHeight="false" outlineLevel="0" collapsed="false">
      <c r="A15" s="46"/>
      <c r="B15" s="47"/>
      <c r="C15" s="46"/>
      <c r="D15" s="48"/>
      <c r="E15" s="14"/>
      <c r="F15" s="47"/>
    </row>
    <row r="16" customFormat="false" ht="15" hidden="false" customHeight="false" outlineLevel="0" collapsed="false">
      <c r="A16" s="46"/>
      <c r="B16" s="47"/>
      <c r="C16" s="46"/>
      <c r="D16" s="48"/>
      <c r="E16" s="14"/>
      <c r="F16" s="47"/>
    </row>
    <row r="17" customFormat="false" ht="15" hidden="false" customHeight="false" outlineLevel="0" collapsed="false">
      <c r="A17" s="46"/>
      <c r="B17" s="47"/>
      <c r="C17" s="46"/>
      <c r="D17" s="48"/>
      <c r="E17" s="14"/>
      <c r="F17" s="47"/>
    </row>
    <row r="18" customFormat="false" ht="15" hidden="false" customHeight="false" outlineLevel="0" collapsed="false">
      <c r="A18" s="46"/>
      <c r="B18" s="47"/>
      <c r="C18" s="46"/>
      <c r="D18" s="48"/>
      <c r="E18" s="14"/>
      <c r="F18" s="47"/>
    </row>
    <row r="19" customFormat="false" ht="15" hidden="false" customHeight="false" outlineLevel="0" collapsed="false">
      <c r="A19" s="46"/>
      <c r="B19" s="47"/>
      <c r="C19" s="46"/>
      <c r="D19" s="48"/>
      <c r="E19" s="14"/>
      <c r="F19" s="47"/>
    </row>
    <row r="20" customFormat="false" ht="15" hidden="false" customHeight="false" outlineLevel="0" collapsed="false">
      <c r="A20" s="46"/>
      <c r="B20" s="47"/>
      <c r="C20" s="46"/>
      <c r="D20" s="48"/>
      <c r="E20" s="14"/>
      <c r="F20" s="47"/>
    </row>
    <row r="21" customFormat="false" ht="15" hidden="false" customHeight="false" outlineLevel="0" collapsed="false">
      <c r="A21" s="46"/>
      <c r="B21" s="47"/>
      <c r="C21" s="46"/>
      <c r="D21" s="48"/>
      <c r="E21" s="14"/>
      <c r="F21" s="47"/>
    </row>
    <row r="22" customFormat="false" ht="15" hidden="false" customHeight="false" outlineLevel="0" collapsed="false">
      <c r="A22" s="46"/>
      <c r="B22" s="47"/>
      <c r="C22" s="46"/>
      <c r="D22" s="48"/>
      <c r="E22" s="14"/>
      <c r="F22" s="47"/>
    </row>
    <row r="23" customFormat="false" ht="15" hidden="false" customHeight="false" outlineLevel="0" collapsed="false">
      <c r="A23" s="46"/>
      <c r="B23" s="47"/>
      <c r="C23" s="46"/>
      <c r="D23" s="48"/>
      <c r="E23" s="14"/>
      <c r="F23" s="47"/>
    </row>
    <row r="24" customFormat="false" ht="15" hidden="false" customHeight="false" outlineLevel="0" collapsed="false">
      <c r="A24" s="46"/>
      <c r="B24" s="47"/>
      <c r="C24" s="46"/>
      <c r="D24" s="48"/>
      <c r="E24" s="14"/>
      <c r="F24" s="47"/>
    </row>
    <row r="25" customFormat="false" ht="15" hidden="false" customHeight="false" outlineLevel="0" collapsed="false">
      <c r="A25" s="46"/>
      <c r="B25" s="47"/>
      <c r="C25" s="46"/>
      <c r="D25" s="48"/>
      <c r="E25" s="14"/>
      <c r="F25" s="47"/>
    </row>
    <row r="26" customFormat="false" ht="15" hidden="false" customHeight="false" outlineLevel="0" collapsed="false">
      <c r="A26" s="46"/>
      <c r="B26" s="47"/>
      <c r="C26" s="46"/>
      <c r="D26" s="48"/>
      <c r="E26" s="14"/>
      <c r="F26" s="47"/>
    </row>
    <row r="27" customFormat="false" ht="15" hidden="false" customHeight="false" outlineLevel="0" collapsed="false">
      <c r="A27" s="46"/>
      <c r="B27" s="47"/>
      <c r="C27" s="46"/>
      <c r="D27" s="48"/>
      <c r="E27" s="14"/>
      <c r="F27" s="47"/>
    </row>
    <row r="28" customFormat="false" ht="15" hidden="false" customHeight="false" outlineLevel="0" collapsed="false">
      <c r="A28" s="46"/>
      <c r="B28" s="47"/>
      <c r="C28" s="46"/>
      <c r="D28" s="48"/>
      <c r="E28" s="14"/>
      <c r="F28" s="47"/>
    </row>
    <row r="29" customFormat="false" ht="15" hidden="false" customHeight="false" outlineLevel="0" collapsed="false">
      <c r="A29" s="46"/>
      <c r="B29" s="47"/>
      <c r="C29" s="46"/>
      <c r="D29" s="48"/>
      <c r="E29" s="14"/>
      <c r="F29" s="47"/>
    </row>
    <row r="30" customFormat="false" ht="15" hidden="false" customHeight="false" outlineLevel="0" collapsed="false">
      <c r="A30" s="46"/>
      <c r="B30" s="47"/>
      <c r="C30" s="46"/>
      <c r="D30" s="48"/>
      <c r="E30" s="14"/>
      <c r="F30" s="47"/>
    </row>
    <row r="31" customFormat="false" ht="15" hidden="false" customHeight="false" outlineLevel="0" collapsed="false">
      <c r="A31" s="46"/>
      <c r="B31" s="47"/>
      <c r="C31" s="46"/>
      <c r="D31" s="48"/>
      <c r="E31" s="14"/>
      <c r="F31" s="47"/>
    </row>
    <row r="32" customFormat="false" ht="15" hidden="false" customHeight="false" outlineLevel="0" collapsed="false">
      <c r="A32" s="46"/>
      <c r="B32" s="47"/>
      <c r="C32" s="46"/>
      <c r="D32" s="48"/>
      <c r="E32" s="14"/>
      <c r="F32" s="47"/>
    </row>
    <row r="33" customFormat="false" ht="15" hidden="false" customHeight="false" outlineLevel="0" collapsed="false">
      <c r="A33" s="46"/>
      <c r="B33" s="47"/>
      <c r="C33" s="46"/>
      <c r="D33" s="48"/>
      <c r="E33" s="14"/>
      <c r="F33" s="47"/>
    </row>
    <row r="34" customFormat="false" ht="15" hidden="false" customHeight="false" outlineLevel="0" collapsed="false">
      <c r="A34" s="46"/>
      <c r="B34" s="47"/>
      <c r="C34" s="46"/>
      <c r="D34" s="48"/>
      <c r="E34" s="14"/>
      <c r="F34" s="47"/>
    </row>
    <row r="35" customFormat="false" ht="15" hidden="false" customHeight="false" outlineLevel="0" collapsed="false">
      <c r="A35" s="46"/>
      <c r="B35" s="47"/>
      <c r="C35" s="46"/>
      <c r="D35" s="48"/>
      <c r="E35" s="14"/>
      <c r="F35" s="47"/>
    </row>
    <row r="36" customFormat="false" ht="15" hidden="false" customHeight="false" outlineLevel="0" collapsed="false">
      <c r="A36" s="46"/>
      <c r="B36" s="47"/>
      <c r="C36" s="46"/>
      <c r="D36" s="48"/>
      <c r="E36" s="14"/>
      <c r="F36" s="47"/>
    </row>
    <row r="37" customFormat="false" ht="15" hidden="false" customHeight="false" outlineLevel="0" collapsed="false">
      <c r="A37" s="46"/>
      <c r="B37" s="47"/>
      <c r="C37" s="46"/>
      <c r="D37" s="48"/>
      <c r="E37" s="14"/>
      <c r="F37" s="47"/>
    </row>
    <row r="38" customFormat="false" ht="15" hidden="false" customHeight="false" outlineLevel="0" collapsed="false">
      <c r="A38" s="46"/>
      <c r="B38" s="47"/>
      <c r="C38" s="46"/>
      <c r="D38" s="48"/>
      <c r="E38" s="14"/>
      <c r="F38" s="47"/>
    </row>
    <row r="39" customFormat="false" ht="15" hidden="false" customHeight="false" outlineLevel="0" collapsed="false">
      <c r="A39" s="46"/>
      <c r="B39" s="47"/>
      <c r="C39" s="46"/>
      <c r="D39" s="48"/>
      <c r="E39" s="14"/>
      <c r="F39" s="47"/>
    </row>
    <row r="40" customFormat="false" ht="15" hidden="false" customHeight="false" outlineLevel="0" collapsed="false">
      <c r="A40" s="46"/>
      <c r="B40" s="47"/>
      <c r="C40" s="46"/>
      <c r="D40" s="48"/>
      <c r="E40" s="14"/>
      <c r="F40" s="47"/>
    </row>
    <row r="41" customFormat="false" ht="15" hidden="false" customHeight="false" outlineLevel="0" collapsed="false">
      <c r="A41" s="46"/>
      <c r="B41" s="47"/>
      <c r="C41" s="46"/>
      <c r="D41" s="48"/>
      <c r="E41" s="14"/>
      <c r="F41" s="47"/>
    </row>
    <row r="42" customFormat="false" ht="15" hidden="false" customHeight="false" outlineLevel="0" collapsed="false">
      <c r="A42" s="46"/>
      <c r="B42" s="47"/>
      <c r="C42" s="46"/>
      <c r="D42" s="48"/>
      <c r="E42" s="14"/>
      <c r="F42" s="47"/>
    </row>
    <row r="43" customFormat="false" ht="15" hidden="false" customHeight="false" outlineLevel="0" collapsed="false">
      <c r="A43" s="46"/>
      <c r="B43" s="47"/>
      <c r="C43" s="46"/>
      <c r="D43" s="48"/>
      <c r="E43" s="14"/>
      <c r="F43" s="47"/>
    </row>
    <row r="44" customFormat="false" ht="15" hidden="false" customHeight="false" outlineLevel="0" collapsed="false">
      <c r="A44" s="46"/>
      <c r="B44" s="47"/>
      <c r="C44" s="46"/>
      <c r="D44" s="48"/>
      <c r="E44" s="14"/>
      <c r="F44" s="47"/>
    </row>
    <row r="45" customFormat="false" ht="15" hidden="false" customHeight="false" outlineLevel="0" collapsed="false">
      <c r="A45" s="46"/>
      <c r="B45" s="47"/>
      <c r="C45" s="46"/>
      <c r="D45" s="48"/>
      <c r="E45" s="14"/>
      <c r="F45" s="47"/>
    </row>
    <row r="46" customFormat="false" ht="15" hidden="false" customHeight="false" outlineLevel="0" collapsed="false">
      <c r="A46" s="46"/>
      <c r="B46" s="47"/>
      <c r="C46" s="46"/>
      <c r="D46" s="48"/>
      <c r="E46" s="14"/>
      <c r="F46" s="47"/>
    </row>
    <row r="47" customFormat="false" ht="15" hidden="false" customHeight="false" outlineLevel="0" collapsed="false">
      <c r="A47" s="46"/>
      <c r="B47" s="47"/>
      <c r="C47" s="46"/>
      <c r="D47" s="48"/>
      <c r="E47" s="14"/>
      <c r="F47" s="47"/>
    </row>
    <row r="48" customFormat="false" ht="15" hidden="false" customHeight="false" outlineLevel="0" collapsed="false">
      <c r="A48" s="46"/>
      <c r="B48" s="47"/>
      <c r="C48" s="46"/>
      <c r="D48" s="48"/>
      <c r="E48" s="14"/>
      <c r="F48" s="47"/>
    </row>
    <row r="49" customFormat="false" ht="15" hidden="false" customHeight="false" outlineLevel="0" collapsed="false">
      <c r="A49" s="46"/>
      <c r="B49" s="47"/>
      <c r="C49" s="46"/>
      <c r="D49" s="48"/>
      <c r="E49" s="14"/>
      <c r="F49" s="47"/>
    </row>
    <row r="50" customFormat="false" ht="15" hidden="false" customHeight="false" outlineLevel="0" collapsed="false">
      <c r="A50" s="46"/>
      <c r="B50" s="47"/>
      <c r="C50" s="46"/>
      <c r="D50" s="48"/>
      <c r="E50" s="14"/>
      <c r="F50" s="47"/>
    </row>
    <row r="51" customFormat="false" ht="15" hidden="false" customHeight="false" outlineLevel="0" collapsed="false">
      <c r="A51" s="46"/>
      <c r="B51" s="47"/>
      <c r="C51" s="46"/>
      <c r="D51" s="48"/>
      <c r="E51" s="14"/>
      <c r="F51" s="47"/>
    </row>
    <row r="52" customFormat="false" ht="15" hidden="false" customHeight="false" outlineLevel="0" collapsed="false">
      <c r="A52" s="46"/>
      <c r="B52" s="47"/>
      <c r="C52" s="46"/>
      <c r="D52" s="48"/>
      <c r="E52" s="14"/>
      <c r="F52" s="47"/>
    </row>
    <row r="53" customFormat="false" ht="15" hidden="false" customHeight="false" outlineLevel="0" collapsed="false">
      <c r="A53" s="46"/>
      <c r="B53" s="47"/>
      <c r="C53" s="46"/>
      <c r="D53" s="48"/>
      <c r="E53" s="14"/>
      <c r="F53" s="47"/>
    </row>
    <row r="54" customFormat="false" ht="15" hidden="false" customHeight="false" outlineLevel="0" collapsed="false">
      <c r="A54" s="46"/>
      <c r="B54" s="47"/>
      <c r="C54" s="46"/>
      <c r="D54" s="48"/>
      <c r="E54" s="14"/>
      <c r="F54" s="47"/>
    </row>
    <row r="55" customFormat="false" ht="15" hidden="false" customHeight="false" outlineLevel="0" collapsed="false">
      <c r="A55" s="46"/>
      <c r="B55" s="47"/>
      <c r="C55" s="46"/>
      <c r="D55" s="48"/>
      <c r="E55" s="14"/>
      <c r="F55" s="47"/>
    </row>
    <row r="56" customFormat="false" ht="15" hidden="false" customHeight="false" outlineLevel="0" collapsed="false">
      <c r="A56" s="46"/>
      <c r="B56" s="47"/>
      <c r="C56" s="46"/>
      <c r="D56" s="48"/>
      <c r="E56" s="14"/>
      <c r="F56" s="47"/>
    </row>
    <row r="57" customFormat="false" ht="15" hidden="false" customHeight="false" outlineLevel="0" collapsed="false">
      <c r="A57" s="46"/>
      <c r="B57" s="47"/>
      <c r="C57" s="46"/>
      <c r="D57" s="48"/>
      <c r="E57" s="14"/>
      <c r="F57" s="47"/>
    </row>
    <row r="58" customFormat="false" ht="15" hidden="false" customHeight="false" outlineLevel="0" collapsed="false">
      <c r="A58" s="46"/>
      <c r="B58" s="47"/>
      <c r="C58" s="46"/>
      <c r="D58" s="48"/>
      <c r="E58" s="14"/>
      <c r="F58" s="47"/>
    </row>
    <row r="59" customFormat="false" ht="15" hidden="false" customHeight="false" outlineLevel="0" collapsed="false">
      <c r="A59" s="46"/>
      <c r="B59" s="47"/>
      <c r="C59" s="46"/>
      <c r="D59" s="48"/>
      <c r="E59" s="14"/>
      <c r="F59" s="47"/>
    </row>
    <row r="60" customFormat="false" ht="15" hidden="false" customHeight="false" outlineLevel="0" collapsed="false">
      <c r="A60" s="46"/>
      <c r="B60" s="47"/>
      <c r="C60" s="46"/>
      <c r="D60" s="48"/>
      <c r="E60" s="14"/>
      <c r="F60" s="47"/>
    </row>
    <row r="61" customFormat="false" ht="15" hidden="false" customHeight="false" outlineLevel="0" collapsed="false">
      <c r="A61" s="46"/>
      <c r="B61" s="47"/>
      <c r="C61" s="46"/>
      <c r="D61" s="48"/>
      <c r="E61" s="14"/>
      <c r="F61" s="47"/>
    </row>
    <row r="62" customFormat="false" ht="15" hidden="false" customHeight="false" outlineLevel="0" collapsed="false">
      <c r="A62" s="46"/>
      <c r="B62" s="47"/>
      <c r="C62" s="46"/>
      <c r="D62" s="48"/>
      <c r="E62" s="14"/>
      <c r="F62" s="47"/>
    </row>
    <row r="63" customFormat="false" ht="15" hidden="false" customHeight="false" outlineLevel="0" collapsed="false">
      <c r="A63" s="46"/>
      <c r="B63" s="47"/>
      <c r="C63" s="46"/>
      <c r="D63" s="48"/>
      <c r="E63" s="14"/>
      <c r="F63" s="47"/>
    </row>
    <row r="64" customFormat="false" ht="15" hidden="false" customHeight="false" outlineLevel="0" collapsed="false">
      <c r="A64" s="46"/>
      <c r="B64" s="47"/>
      <c r="C64" s="46"/>
      <c r="D64" s="48"/>
      <c r="E64" s="14"/>
      <c r="F64" s="47"/>
    </row>
    <row r="65" customFormat="false" ht="15" hidden="false" customHeight="false" outlineLevel="0" collapsed="false">
      <c r="A65" s="46"/>
      <c r="B65" s="47"/>
      <c r="C65" s="46"/>
      <c r="D65" s="48"/>
      <c r="E65" s="14"/>
      <c r="F65" s="47"/>
    </row>
    <row r="66" customFormat="false" ht="15" hidden="false" customHeight="false" outlineLevel="0" collapsed="false">
      <c r="A66" s="46"/>
      <c r="B66" s="47"/>
      <c r="C66" s="46"/>
      <c r="D66" s="48"/>
      <c r="E66" s="14"/>
      <c r="F66" s="47"/>
    </row>
    <row r="67" customFormat="false" ht="15" hidden="false" customHeight="false" outlineLevel="0" collapsed="false">
      <c r="A67" s="46"/>
      <c r="B67" s="47"/>
      <c r="C67" s="46"/>
      <c r="D67" s="48"/>
      <c r="E67" s="14"/>
      <c r="F67" s="47"/>
    </row>
    <row r="68" customFormat="false" ht="15" hidden="false" customHeight="false" outlineLevel="0" collapsed="false">
      <c r="A68" s="46"/>
      <c r="B68" s="47"/>
      <c r="C68" s="46"/>
      <c r="D68" s="48"/>
      <c r="E68" s="14"/>
      <c r="F68" s="47"/>
    </row>
    <row r="69" customFormat="false" ht="15" hidden="false" customHeight="false" outlineLevel="0" collapsed="false">
      <c r="A69" s="46"/>
      <c r="B69" s="47"/>
      <c r="C69" s="46"/>
      <c r="D69" s="48"/>
      <c r="E69" s="14"/>
      <c r="F69" s="47"/>
    </row>
    <row r="70" customFormat="false" ht="15" hidden="false" customHeight="false" outlineLevel="0" collapsed="false">
      <c r="A70" s="46"/>
      <c r="B70" s="47"/>
      <c r="C70" s="46"/>
      <c r="D70" s="48"/>
      <c r="E70" s="14"/>
      <c r="F70" s="47"/>
    </row>
    <row r="71" customFormat="false" ht="15" hidden="false" customHeight="false" outlineLevel="0" collapsed="false">
      <c r="A71" s="46"/>
      <c r="B71" s="47"/>
      <c r="C71" s="46"/>
      <c r="D71" s="48"/>
      <c r="E71" s="14"/>
      <c r="F71" s="47"/>
    </row>
    <row r="72" customFormat="false" ht="15" hidden="false" customHeight="false" outlineLevel="0" collapsed="false">
      <c r="A72" s="46"/>
      <c r="B72" s="47"/>
      <c r="C72" s="46"/>
      <c r="D72" s="48"/>
      <c r="E72" s="14"/>
      <c r="F72" s="47"/>
    </row>
    <row r="73" customFormat="false" ht="15" hidden="false" customHeight="false" outlineLevel="0" collapsed="false">
      <c r="A73" s="46"/>
      <c r="B73" s="47"/>
      <c r="C73" s="46"/>
      <c r="D73" s="48"/>
      <c r="E73" s="14"/>
      <c r="F73" s="47"/>
    </row>
    <row r="74" customFormat="false" ht="15" hidden="false" customHeight="false" outlineLevel="0" collapsed="false">
      <c r="A74" s="46"/>
      <c r="B74" s="47"/>
      <c r="C74" s="46"/>
      <c r="D74" s="48"/>
      <c r="E74" s="14"/>
      <c r="F74" s="47"/>
    </row>
    <row r="75" customFormat="false" ht="15" hidden="false" customHeight="false" outlineLevel="0" collapsed="false">
      <c r="A75" s="46"/>
      <c r="B75" s="47"/>
      <c r="C75" s="46"/>
      <c r="D75" s="48"/>
      <c r="E75" s="14"/>
      <c r="F75" s="47"/>
    </row>
    <row r="76" customFormat="false" ht="15" hidden="false" customHeight="false" outlineLevel="0" collapsed="false">
      <c r="A76" s="46"/>
      <c r="B76" s="47"/>
      <c r="C76" s="46"/>
      <c r="D76" s="48"/>
      <c r="E76" s="14"/>
      <c r="F76" s="47"/>
    </row>
    <row r="77" customFormat="false" ht="15" hidden="false" customHeight="false" outlineLevel="0" collapsed="false">
      <c r="A77" s="46"/>
      <c r="B77" s="47"/>
      <c r="C77" s="46"/>
      <c r="D77" s="48"/>
      <c r="E77" s="14"/>
      <c r="F77" s="47"/>
    </row>
    <row r="78" customFormat="false" ht="15" hidden="false" customHeight="false" outlineLevel="0" collapsed="false">
      <c r="A78" s="46"/>
      <c r="B78" s="47"/>
      <c r="C78" s="46"/>
      <c r="D78" s="48"/>
      <c r="E78" s="14"/>
      <c r="F78" s="47"/>
    </row>
    <row r="79" customFormat="false" ht="15" hidden="false" customHeight="false" outlineLevel="0" collapsed="false">
      <c r="A79" s="46"/>
      <c r="B79" s="47"/>
      <c r="C79" s="46"/>
      <c r="D79" s="48"/>
      <c r="E79" s="14"/>
      <c r="F79" s="47"/>
    </row>
    <row r="80" customFormat="false" ht="15" hidden="false" customHeight="false" outlineLevel="0" collapsed="false">
      <c r="A80" s="46"/>
      <c r="B80" s="47"/>
      <c r="C80" s="46"/>
      <c r="D80" s="48"/>
      <c r="E80" s="14"/>
      <c r="F80" s="47"/>
    </row>
    <row r="81" customFormat="false" ht="15" hidden="false" customHeight="false" outlineLevel="0" collapsed="false">
      <c r="A81" s="46"/>
      <c r="B81" s="47"/>
      <c r="C81" s="46"/>
      <c r="D81" s="48"/>
      <c r="E81" s="14"/>
      <c r="F81" s="47"/>
    </row>
    <row r="82" customFormat="false" ht="15" hidden="false" customHeight="false" outlineLevel="0" collapsed="false">
      <c r="A82" s="46"/>
      <c r="B82" s="47"/>
      <c r="C82" s="46"/>
      <c r="D82" s="48"/>
      <c r="E82" s="14"/>
      <c r="F82" s="47"/>
    </row>
    <row r="83" customFormat="false" ht="15" hidden="false" customHeight="false" outlineLevel="0" collapsed="false">
      <c r="A83" s="46"/>
      <c r="B83" s="47"/>
      <c r="C83" s="46"/>
      <c r="D83" s="48"/>
      <c r="E83" s="14"/>
      <c r="F83" s="47"/>
    </row>
    <row r="84" customFormat="false" ht="15" hidden="false" customHeight="false" outlineLevel="0" collapsed="false">
      <c r="A84" s="46"/>
      <c r="B84" s="47"/>
      <c r="C84" s="46"/>
      <c r="D84" s="48"/>
      <c r="E84" s="14"/>
      <c r="F84" s="47"/>
    </row>
    <row r="85" customFormat="false" ht="15" hidden="false" customHeight="false" outlineLevel="0" collapsed="false">
      <c r="A85" s="46"/>
      <c r="B85" s="47"/>
      <c r="C85" s="46"/>
      <c r="D85" s="48"/>
      <c r="E85" s="14"/>
      <c r="F85" s="47"/>
    </row>
    <row r="86" customFormat="false" ht="15" hidden="false" customHeight="false" outlineLevel="0" collapsed="false">
      <c r="A86" s="46"/>
      <c r="B86" s="47"/>
      <c r="C86" s="46"/>
      <c r="D86" s="48"/>
      <c r="E86" s="14"/>
      <c r="F86" s="47"/>
    </row>
    <row r="87" customFormat="false" ht="15" hidden="false" customHeight="false" outlineLevel="0" collapsed="false">
      <c r="A87" s="46"/>
      <c r="B87" s="47"/>
      <c r="C87" s="46"/>
      <c r="D87" s="48"/>
      <c r="E87" s="14"/>
      <c r="F87" s="47"/>
    </row>
    <row r="88" customFormat="false" ht="15" hidden="false" customHeight="false" outlineLevel="0" collapsed="false">
      <c r="A88" s="46"/>
      <c r="B88" s="47"/>
      <c r="C88" s="46"/>
      <c r="D88" s="48"/>
      <c r="E88" s="14"/>
      <c r="F88" s="47"/>
    </row>
    <row r="89" customFormat="false" ht="15" hidden="false" customHeight="false" outlineLevel="0" collapsed="false">
      <c r="A89" s="46"/>
      <c r="B89" s="47"/>
      <c r="C89" s="46"/>
      <c r="D89" s="48"/>
      <c r="E89" s="14"/>
      <c r="F89" s="47"/>
    </row>
    <row r="90" customFormat="false" ht="15" hidden="false" customHeight="false" outlineLevel="0" collapsed="false">
      <c r="A90" s="46"/>
      <c r="B90" s="47"/>
      <c r="C90" s="46"/>
      <c r="D90" s="48"/>
      <c r="E90" s="14"/>
      <c r="F90" s="47"/>
    </row>
    <row r="91" customFormat="false" ht="15" hidden="false" customHeight="false" outlineLevel="0" collapsed="false">
      <c r="A91" s="46"/>
      <c r="B91" s="47"/>
      <c r="C91" s="46"/>
      <c r="D91" s="48"/>
      <c r="E91" s="14"/>
      <c r="F91" s="47"/>
    </row>
    <row r="92" customFormat="false" ht="15" hidden="false" customHeight="false" outlineLevel="0" collapsed="false">
      <c r="A92" s="46"/>
      <c r="B92" s="47"/>
      <c r="C92" s="46"/>
      <c r="D92" s="48"/>
      <c r="E92" s="14"/>
      <c r="F92" s="47"/>
    </row>
    <row r="93" customFormat="false" ht="15" hidden="false" customHeight="false" outlineLevel="0" collapsed="false">
      <c r="A93" s="46"/>
      <c r="B93" s="47"/>
      <c r="C93" s="46"/>
      <c r="D93" s="48"/>
      <c r="E93" s="14"/>
      <c r="F93" s="47"/>
    </row>
    <row r="94" customFormat="false" ht="15" hidden="false" customHeight="false" outlineLevel="0" collapsed="false">
      <c r="A94" s="46"/>
      <c r="B94" s="47"/>
      <c r="C94" s="46"/>
      <c r="D94" s="48"/>
      <c r="E94" s="14"/>
      <c r="F94" s="47"/>
    </row>
    <row r="95" customFormat="false" ht="15" hidden="false" customHeight="false" outlineLevel="0" collapsed="false">
      <c r="A95" s="46"/>
      <c r="B95" s="47"/>
      <c r="C95" s="46"/>
      <c r="D95" s="48"/>
      <c r="E95" s="14"/>
      <c r="F95" s="47"/>
    </row>
    <row r="96" customFormat="false" ht="15" hidden="false" customHeight="false" outlineLevel="0" collapsed="false">
      <c r="A96" s="46"/>
      <c r="B96" s="47"/>
      <c r="C96" s="46"/>
      <c r="D96" s="48"/>
      <c r="E96" s="14"/>
      <c r="F96" s="47"/>
    </row>
    <row r="97" customFormat="false" ht="15" hidden="false" customHeight="false" outlineLevel="0" collapsed="false">
      <c r="A97" s="46"/>
      <c r="B97" s="47"/>
      <c r="C97" s="46"/>
      <c r="D97" s="48"/>
      <c r="E97" s="14"/>
      <c r="F97" s="47"/>
    </row>
    <row r="98" customFormat="false" ht="15" hidden="false" customHeight="false" outlineLevel="0" collapsed="false">
      <c r="A98" s="46"/>
      <c r="B98" s="47"/>
      <c r="C98" s="46"/>
      <c r="D98" s="48"/>
      <c r="E98" s="14"/>
      <c r="F98" s="47"/>
    </row>
    <row r="99" customFormat="false" ht="15" hidden="false" customHeight="false" outlineLevel="0" collapsed="false">
      <c r="A99" s="46"/>
      <c r="B99" s="47"/>
      <c r="C99" s="46"/>
      <c r="D99" s="48"/>
      <c r="E99" s="14"/>
      <c r="F99" s="47"/>
    </row>
    <row r="100" customFormat="false" ht="15" hidden="false" customHeight="false" outlineLevel="0" collapsed="false">
      <c r="A100" s="46"/>
      <c r="B100" s="47"/>
      <c r="C100" s="46"/>
      <c r="D100" s="48"/>
      <c r="E100" s="14"/>
      <c r="F100" s="47"/>
    </row>
    <row r="101" customFormat="false" ht="15" hidden="false" customHeight="false" outlineLevel="0" collapsed="false">
      <c r="A101" s="46"/>
      <c r="B101" s="47"/>
      <c r="C101" s="46"/>
      <c r="D101" s="48"/>
      <c r="E101" s="14"/>
      <c r="F101" s="47"/>
    </row>
    <row r="102" customFormat="false" ht="15" hidden="false" customHeight="false" outlineLevel="0" collapsed="false">
      <c r="A102" s="46"/>
      <c r="B102" s="47"/>
      <c r="C102" s="46"/>
      <c r="D102" s="48"/>
      <c r="E102" s="14"/>
      <c r="F102" s="47"/>
    </row>
    <row r="103" customFormat="false" ht="15" hidden="false" customHeight="false" outlineLevel="0" collapsed="false">
      <c r="A103" s="46"/>
      <c r="B103" s="47"/>
      <c r="C103" s="46"/>
      <c r="D103" s="48"/>
      <c r="E103" s="14"/>
      <c r="F103" s="47"/>
    </row>
    <row r="104" customFormat="false" ht="15" hidden="false" customHeight="false" outlineLevel="0" collapsed="false">
      <c r="A104" s="46"/>
      <c r="B104" s="47"/>
      <c r="C104" s="46"/>
      <c r="D104" s="48"/>
      <c r="E104" s="14"/>
      <c r="F104" s="47"/>
    </row>
    <row r="105" customFormat="false" ht="15" hidden="false" customHeight="false" outlineLevel="0" collapsed="false">
      <c r="A105" s="46"/>
      <c r="B105" s="47"/>
      <c r="C105" s="46"/>
      <c r="D105" s="48"/>
      <c r="E105" s="14"/>
      <c r="F105" s="47"/>
    </row>
    <row r="106" customFormat="false" ht="15" hidden="false" customHeight="false" outlineLevel="0" collapsed="false">
      <c r="A106" s="46"/>
      <c r="B106" s="47"/>
      <c r="C106" s="46"/>
      <c r="D106" s="48"/>
      <c r="E106" s="14"/>
      <c r="F106" s="47"/>
    </row>
    <row r="107" customFormat="false" ht="15" hidden="false" customHeight="false" outlineLevel="0" collapsed="false">
      <c r="A107" s="46"/>
      <c r="B107" s="47"/>
      <c r="C107" s="46"/>
      <c r="D107" s="48"/>
      <c r="E107" s="14"/>
      <c r="F107" s="47"/>
    </row>
    <row r="108" customFormat="false" ht="15" hidden="false" customHeight="false" outlineLevel="0" collapsed="false">
      <c r="A108" s="46"/>
      <c r="B108" s="47"/>
      <c r="C108" s="46"/>
      <c r="D108" s="48"/>
      <c r="E108" s="14"/>
      <c r="F108" s="47"/>
    </row>
    <row r="109" customFormat="false" ht="15" hidden="false" customHeight="false" outlineLevel="0" collapsed="false">
      <c r="A109" s="46"/>
      <c r="B109" s="47"/>
      <c r="C109" s="46"/>
      <c r="D109" s="48"/>
      <c r="E109" s="14"/>
      <c r="F109" s="47"/>
    </row>
    <row r="110" customFormat="false" ht="15" hidden="false" customHeight="false" outlineLevel="0" collapsed="false">
      <c r="A110" s="46"/>
      <c r="B110" s="47"/>
      <c r="C110" s="46"/>
      <c r="D110" s="48"/>
      <c r="E110" s="14"/>
      <c r="F110" s="47"/>
    </row>
  </sheetData>
  <mergeCells count="3">
    <mergeCell ref="A1:F1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5" min="4" style="0" width="12"/>
  </cols>
  <sheetData>
    <row r="1" customFormat="false" ht="31.5" hidden="false" customHeight="true" outlineLevel="0" collapsed="false">
      <c r="A1" s="1" t="s">
        <v>190</v>
      </c>
      <c r="B1" s="1"/>
      <c r="C1" s="1"/>
      <c r="D1" s="1"/>
    </row>
    <row r="3" customFormat="false" ht="17.9" hidden="false" customHeight="false" outlineLevel="0" collapsed="false">
      <c r="A3" s="3" t="s">
        <v>191</v>
      </c>
      <c r="B3" s="3"/>
      <c r="C3" s="3"/>
      <c r="D3" s="3"/>
    </row>
    <row r="4" customFormat="false" ht="15" hidden="false" customHeight="false" outlineLevel="0" collapsed="false">
      <c r="A4" s="50" t="s">
        <v>192</v>
      </c>
      <c r="B4" s="14" t="n">
        <v>200</v>
      </c>
    </row>
    <row r="5" customFormat="false" ht="15" hidden="false" customHeight="false" outlineLevel="0" collapsed="false">
      <c r="A5" s="50" t="s">
        <v>193</v>
      </c>
      <c r="B5" s="14" t="n">
        <v>8</v>
      </c>
    </row>
    <row r="6" customFormat="false" ht="15" hidden="false" customHeight="false" outlineLevel="0" collapsed="false">
      <c r="A6" s="50" t="s">
        <v>194</v>
      </c>
      <c r="B6" s="14" t="n">
        <v>4</v>
      </c>
    </row>
    <row r="7" customFormat="false" ht="15" hidden="false" customHeight="false" outlineLevel="0" collapsed="false">
      <c r="A7" s="50" t="s">
        <v>195</v>
      </c>
      <c r="B7" s="14" t="n">
        <v>2</v>
      </c>
    </row>
    <row r="8" customFormat="false" ht="15" hidden="false" customHeight="false" outlineLevel="0" collapsed="false">
      <c r="A8" s="51" t="s">
        <v>196</v>
      </c>
      <c r="B8" s="14" t="n">
        <v>12</v>
      </c>
    </row>
    <row r="10" customFormat="false" ht="17.9" hidden="false" customHeight="false" outlineLevel="0" collapsed="false">
      <c r="A10" s="3" t="s">
        <v>197</v>
      </c>
      <c r="B10" s="3"/>
      <c r="C10" s="3"/>
      <c r="D10" s="3"/>
    </row>
    <row r="11" customFormat="false" ht="15" hidden="false" customHeight="false" outlineLevel="0" collapsed="false">
      <c r="A11" s="21" t="s">
        <v>47</v>
      </c>
      <c r="B11" s="21" t="s">
        <v>181</v>
      </c>
      <c r="C11" s="21" t="s">
        <v>50</v>
      </c>
    </row>
    <row r="12" customFormat="false" ht="15" hidden="false" customHeight="false" outlineLevel="0" collapsed="false">
      <c r="A12" s="8" t="s">
        <v>10</v>
      </c>
      <c r="B12" s="9" t="n">
        <f aca="false">차량_정보!C38</f>
        <v>0.605116666666667</v>
      </c>
      <c r="C12" s="27" t="s">
        <v>198</v>
      </c>
    </row>
    <row r="13" customFormat="false" ht="15" hidden="false" customHeight="false" outlineLevel="0" collapsed="false">
      <c r="A13" s="8" t="s">
        <v>199</v>
      </c>
      <c r="B13" s="54" t="n">
        <f aca="false">B4*차량_정보!C38</f>
        <v>121.023333333333</v>
      </c>
      <c r="C13" s="26" t="s">
        <v>200</v>
      </c>
    </row>
    <row r="14" customFormat="false" ht="15" hidden="false" customHeight="false" outlineLevel="0" collapsed="false">
      <c r="A14" s="8" t="s">
        <v>201</v>
      </c>
      <c r="B14" s="54" t="n">
        <f aca="false">B4*차량_정보!C39</f>
        <v>88.0233333333333</v>
      </c>
      <c r="C14" s="27" t="s">
        <v>71</v>
      </c>
    </row>
    <row r="15" customFormat="false" ht="15" hidden="false" customHeight="false" outlineLevel="0" collapsed="false">
      <c r="A15" s="8" t="s">
        <v>202</v>
      </c>
      <c r="B15" s="54" t="n">
        <f aca="false">B4*0.15</f>
        <v>30</v>
      </c>
      <c r="C15" s="26" t="s">
        <v>203</v>
      </c>
    </row>
    <row r="16" customFormat="false" ht="15" hidden="false" customHeight="false" outlineLevel="0" collapsed="false">
      <c r="A16" s="8" t="s">
        <v>204</v>
      </c>
      <c r="B16" s="54" t="n">
        <f aca="false">B4*0.2</f>
        <v>40</v>
      </c>
      <c r="C16" s="27"/>
    </row>
    <row r="17" customFormat="false" ht="15" hidden="false" customHeight="false" outlineLevel="0" collapsed="false">
      <c r="A17" s="8" t="s">
        <v>205</v>
      </c>
      <c r="B17" s="54" t="n">
        <f aca="false">B4*0.25</f>
        <v>50</v>
      </c>
      <c r="C17" s="27"/>
    </row>
    <row r="18" customFormat="false" ht="15" hidden="false" customHeight="false" outlineLevel="0" collapsed="false">
      <c r="A18" s="8" t="s">
        <v>206</v>
      </c>
      <c r="B18" s="54" t="n">
        <f aca="false">B4*CHOOSE(B7,0.15,0.2,0.25)*B6</f>
        <v>160</v>
      </c>
      <c r="C18" s="27" t="s">
        <v>207</v>
      </c>
    </row>
    <row r="19" customFormat="false" ht="15" hidden="false" customHeight="false" outlineLevel="0" collapsed="false">
      <c r="A19" s="8" t="s">
        <v>208</v>
      </c>
      <c r="B19" s="10" t="n">
        <f aca="false">45</f>
        <v>45</v>
      </c>
      <c r="C19" s="27" t="s">
        <v>80</v>
      </c>
    </row>
    <row r="20" customFormat="false" ht="15" hidden="false" customHeight="false" outlineLevel="0" collapsed="false">
      <c r="A20" s="8" t="s">
        <v>209</v>
      </c>
      <c r="B20" s="54" t="n">
        <f aca="false">IF(B4&lt;=12,45,45+(B4-12)*1.5)</f>
        <v>327</v>
      </c>
      <c r="C20" s="26" t="s">
        <v>210</v>
      </c>
    </row>
    <row r="21" customFormat="false" ht="15" hidden="false" customHeight="false" outlineLevel="0" collapsed="false">
      <c r="A21" s="8" t="s">
        <v>211</v>
      </c>
      <c r="B21" s="54" t="n">
        <f aca="false">B5*차량_정보!B17+B4*0.5+30</f>
        <v>290</v>
      </c>
      <c r="C21" s="27" t="s">
        <v>212</v>
      </c>
    </row>
    <row r="22" customFormat="false" ht="15" hidden="false" customHeight="false" outlineLevel="0" collapsed="false">
      <c r="A22" s="8" t="s">
        <v>213</v>
      </c>
      <c r="B22" s="10" t="n">
        <f aca="false">40</f>
        <v>40</v>
      </c>
      <c r="C22" s="26" t="s">
        <v>214</v>
      </c>
    </row>
    <row r="23" customFormat="false" ht="15" hidden="false" customHeight="false" outlineLevel="0" collapsed="false">
      <c r="A23" s="18" t="s">
        <v>215</v>
      </c>
      <c r="B23" s="10" t="n">
        <f aca="false">IF(B8="","",IF(B8&lt;=10,50,IF(B8&lt;=20,60,IF(B8&lt;=30,75,IF(B8&lt;=50,100,50+(B8-10)*2)))))</f>
        <v>60</v>
      </c>
      <c r="C23" s="26" t="s">
        <v>216</v>
      </c>
    </row>
    <row r="24" customFormat="false" ht="15" hidden="false" customHeight="false" outlineLevel="0" collapsed="false">
      <c r="A24" s="8" t="s">
        <v>217</v>
      </c>
      <c r="B24" s="55" t="str">
        <f aca="false">IF(B8="","",IF(B8&lt;=10,"Zone 1 (시내, 0–10km)",IF(B8&lt;=20,"Zone 2 (외곽, 10–20km)",IF(B8&lt;=30,"Zone 3 (그레이터, 20–30km)",IF(B8&lt;=50,"Zone 4 (지방, 30–50km)","Zone 5 (50km+)")))))</f>
        <v>Zone 2 (외곽, 10–20km)</v>
      </c>
      <c r="C24" s="27" t="s">
        <v>218</v>
      </c>
    </row>
    <row r="25" customFormat="false" ht="15" hidden="false" customHeight="false" outlineLevel="0" collapsed="false">
      <c r="A25" s="18" t="s">
        <v>219</v>
      </c>
      <c r="B25" s="55" t="str">
        <f aca="false">IF(B8&lt;=50,"적용 안 함","€2/km × ("&amp;(B8-10)&amp;"km−10)")</f>
        <v>적용 안 함</v>
      </c>
      <c r="C25" s="27" t="s">
        <v>220</v>
      </c>
    </row>
    <row r="28" customFormat="false" ht="17.9" hidden="false" customHeight="false" outlineLevel="0" collapsed="false">
      <c r="A28" s="20" t="s">
        <v>221</v>
      </c>
      <c r="B28" s="20"/>
      <c r="C28" s="20"/>
      <c r="D28" s="20"/>
    </row>
    <row r="29" customFormat="false" ht="15" hidden="false" customHeight="false" outlineLevel="0" collapsed="false">
      <c r="A29" s="21" t="s">
        <v>222</v>
      </c>
      <c r="B29" s="22" t="s">
        <v>159</v>
      </c>
      <c r="C29" s="22" t="s">
        <v>223</v>
      </c>
      <c r="D29" s="22" t="s">
        <v>224</v>
      </c>
      <c r="E29" s="22" t="s">
        <v>225</v>
      </c>
    </row>
    <row r="30" customFormat="false" ht="15" hidden="false" customHeight="false" outlineLevel="0" collapsed="false">
      <c r="A30" s="18" t="s">
        <v>170</v>
      </c>
      <c r="B30" s="56" t="n">
        <v>150</v>
      </c>
      <c r="C30" s="41" t="n">
        <v>22.5</v>
      </c>
      <c r="D30" s="41" t="n">
        <v>30</v>
      </c>
      <c r="E30" s="41" t="n">
        <v>37.5</v>
      </c>
    </row>
    <row r="31" customFormat="false" ht="15" hidden="false" customHeight="false" outlineLevel="0" collapsed="false">
      <c r="A31" s="8" t="s">
        <v>226</v>
      </c>
      <c r="B31" s="56" t="n">
        <v>420</v>
      </c>
      <c r="C31" s="41" t="n">
        <v>63</v>
      </c>
      <c r="D31" s="41" t="n">
        <v>84</v>
      </c>
      <c r="E31" s="41" t="n">
        <v>105</v>
      </c>
    </row>
    <row r="32" customFormat="false" ht="15" hidden="false" customHeight="false" outlineLevel="0" collapsed="false">
      <c r="A32" s="8" t="s">
        <v>227</v>
      </c>
      <c r="B32" s="56" t="n">
        <v>500</v>
      </c>
      <c r="C32" s="41" t="n">
        <v>75</v>
      </c>
      <c r="D32" s="41" t="n">
        <v>100</v>
      </c>
      <c r="E32" s="41" t="n">
        <v>125</v>
      </c>
    </row>
    <row r="33" customFormat="false" ht="15" hidden="false" customHeight="false" outlineLevel="0" collapsed="false">
      <c r="A33" s="8" t="s">
        <v>228</v>
      </c>
      <c r="B33" s="56" t="n">
        <v>540</v>
      </c>
      <c r="C33" s="41" t="n">
        <v>81</v>
      </c>
      <c r="D33" s="41" t="n">
        <v>108</v>
      </c>
      <c r="E33" s="41" t="n">
        <v>135</v>
      </c>
    </row>
    <row r="34" customFormat="false" ht="15" hidden="false" customHeight="false" outlineLevel="0" collapsed="false">
      <c r="A34" s="18" t="s">
        <v>229</v>
      </c>
      <c r="B34" s="56" t="n">
        <v>600</v>
      </c>
      <c r="C34" s="41" t="n">
        <v>90</v>
      </c>
      <c r="D34" s="41" t="n">
        <v>120</v>
      </c>
      <c r="E34" s="41" t="n">
        <v>150</v>
      </c>
    </row>
    <row r="35" customFormat="false" ht="15" hidden="false" customHeight="false" outlineLevel="0" collapsed="false">
      <c r="A35" s="18" t="s">
        <v>230</v>
      </c>
      <c r="B35" s="56" t="n">
        <v>750</v>
      </c>
      <c r="C35" s="41" t="n">
        <v>112.5</v>
      </c>
      <c r="D35" s="41" t="n">
        <v>150</v>
      </c>
      <c r="E35" s="41" t="n">
        <v>187.5</v>
      </c>
    </row>
    <row r="38" customFormat="false" ht="17.9" hidden="false" customHeight="false" outlineLevel="0" collapsed="false">
      <c r="A38" s="20" t="s">
        <v>231</v>
      </c>
      <c r="B38" s="20"/>
      <c r="C38" s="20"/>
      <c r="D38" s="20"/>
      <c r="E38" s="20"/>
    </row>
    <row r="39" customFormat="false" ht="15" hidden="false" customHeight="false" outlineLevel="0" collapsed="false">
      <c r="A39" s="22" t="s">
        <v>232</v>
      </c>
      <c r="B39" s="22" t="s">
        <v>233</v>
      </c>
      <c r="C39" s="21" t="s">
        <v>234</v>
      </c>
      <c r="D39" s="21" t="s">
        <v>235</v>
      </c>
      <c r="E39" s="21" t="s">
        <v>50</v>
      </c>
    </row>
    <row r="40" customFormat="false" ht="15" hidden="false" customHeight="false" outlineLevel="0" collapsed="false">
      <c r="A40" s="57" t="s">
        <v>236</v>
      </c>
      <c r="B40" s="37" t="s">
        <v>237</v>
      </c>
      <c r="C40" s="18" t="s">
        <v>238</v>
      </c>
      <c r="D40" s="36" t="n">
        <v>50</v>
      </c>
      <c r="E40" s="27" t="s">
        <v>239</v>
      </c>
    </row>
    <row r="41" customFormat="false" ht="15" hidden="false" customHeight="false" outlineLevel="0" collapsed="false">
      <c r="A41" s="57" t="s">
        <v>240</v>
      </c>
      <c r="B41" s="37" t="s">
        <v>241</v>
      </c>
      <c r="C41" s="18" t="s">
        <v>242</v>
      </c>
      <c r="D41" s="36" t="n">
        <v>60</v>
      </c>
      <c r="E41" s="27"/>
    </row>
    <row r="42" customFormat="false" ht="15" hidden="false" customHeight="false" outlineLevel="0" collapsed="false">
      <c r="A42" s="57" t="s">
        <v>243</v>
      </c>
      <c r="B42" s="37" t="s">
        <v>244</v>
      </c>
      <c r="C42" s="18" t="s">
        <v>245</v>
      </c>
      <c r="D42" s="36" t="n">
        <v>75</v>
      </c>
      <c r="E42" s="27"/>
    </row>
    <row r="43" customFormat="false" ht="15" hidden="false" customHeight="false" outlineLevel="0" collapsed="false">
      <c r="A43" s="57" t="s">
        <v>246</v>
      </c>
      <c r="B43" s="37" t="s">
        <v>247</v>
      </c>
      <c r="C43" s="18" t="s">
        <v>248</v>
      </c>
      <c r="D43" s="36" t="n">
        <v>100</v>
      </c>
      <c r="E43" s="27"/>
    </row>
    <row r="44" customFormat="false" ht="22.35" hidden="false" customHeight="false" outlineLevel="0" collapsed="false">
      <c r="A44" s="57" t="s">
        <v>249</v>
      </c>
      <c r="B44" s="37" t="s">
        <v>250</v>
      </c>
      <c r="C44" s="8" t="s">
        <v>91</v>
      </c>
      <c r="D44" s="38" t="s">
        <v>251</v>
      </c>
      <c r="E44" s="27" t="s">
        <v>252</v>
      </c>
    </row>
    <row r="46" customFormat="false" ht="15" hidden="false" customHeight="true" outlineLevel="0" collapsed="false">
      <c r="A46" s="42" t="s">
        <v>253</v>
      </c>
      <c r="B46" s="42"/>
      <c r="C46" s="42"/>
      <c r="D46" s="42"/>
      <c r="E46" s="42"/>
    </row>
    <row r="47" customFormat="false" ht="15" hidden="false" customHeight="true" outlineLevel="0" collapsed="false">
      <c r="A47" s="44" t="s">
        <v>254</v>
      </c>
      <c r="B47" s="44"/>
      <c r="C47" s="44"/>
      <c r="D47" s="44"/>
      <c r="E47" s="44"/>
    </row>
    <row r="48" customFormat="false" ht="15" hidden="false" customHeight="true" outlineLevel="0" collapsed="false">
      <c r="A48" s="44" t="s">
        <v>255</v>
      </c>
      <c r="B48" s="44"/>
      <c r="C48" s="44"/>
      <c r="D48" s="44"/>
      <c r="E48" s="44"/>
    </row>
    <row r="49" customFormat="false" ht="15" hidden="false" customHeight="true" outlineLevel="0" collapsed="false">
      <c r="A49" s="43" t="s">
        <v>256</v>
      </c>
      <c r="B49" s="43"/>
      <c r="C49" s="43"/>
      <c r="D49" s="43"/>
      <c r="E49" s="43"/>
    </row>
    <row r="50" customFormat="false" ht="15" hidden="false" customHeight="true" outlineLevel="0" collapsed="false">
      <c r="A50" s="43" t="s">
        <v>257</v>
      </c>
      <c r="B50" s="43"/>
      <c r="C50" s="43"/>
      <c r="D50" s="43"/>
      <c r="E50" s="43"/>
    </row>
  </sheetData>
  <mergeCells count="10">
    <mergeCell ref="A1:D1"/>
    <mergeCell ref="A3:D3"/>
    <mergeCell ref="A10:D10"/>
    <mergeCell ref="A28:D28"/>
    <mergeCell ref="A38:E38"/>
    <mergeCell ref="A46:E46"/>
    <mergeCell ref="A47:E47"/>
    <mergeCell ref="A48:E48"/>
    <mergeCell ref="A49:E49"/>
    <mergeCell ref="A50:E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2026-04-28T19:06:14Z</dcterms:created>
  <dc:creator>openpyxl</dc:creator>
  <dc:description/>
  <dc:language>en-US</dc:language>
  <cp:lastModifiedBy/>
  <dcterms:modified xsi:type="dcterms:W3CDTF">2026-04-28T19:06:14Z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